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Dashboard" sheetId="2" state="visible" r:id="rId2"/>
    <sheet name="Subscriptions" sheetId="3" state="visible" r:id="rId3"/>
    <sheet name="Lists" sheetId="4" state="visible" r:id="rId4"/>
  </sheets>
  <definedNames>
    <definedName name="_xlnm.Print_Area" localSheetId="2">'Subscriptions'!$A$1:$K$60</definedName>
  </definedNames>
  <calcPr calcId="124519" fullCalcOnLoad="1"/>
</workbook>
</file>

<file path=xl/styles.xml><?xml version="1.0" encoding="utf-8"?>
<styleSheet xmlns="http://schemas.openxmlformats.org/spreadsheetml/2006/main">
  <numFmts count="2">
    <numFmt numFmtId="164" formatCode="0.0000"/>
    <numFmt numFmtId="165" formatCode="yyyy-mm-dd"/>
  </numFmts>
  <fonts count="4">
    <font>
      <name val="Calibri"/>
      <family val="2"/>
      <color theme="1"/>
      <sz val="11"/>
      <scheme val="minor"/>
    </font>
    <font>
      <b val="1"/>
      <color rgb="001F4E5F"/>
      <sz val="16"/>
    </font>
    <font>
      <b val="1"/>
    </font>
    <font>
      <b val="1"/>
      <color rgb="00FFFFFF"/>
    </font>
  </fonts>
  <fills count="5">
    <fill>
      <patternFill/>
    </fill>
    <fill>
      <patternFill patternType="gray125"/>
    </fill>
    <fill>
      <patternFill patternType="solid">
        <fgColor rgb="00EAF3FB"/>
      </patternFill>
    </fill>
    <fill>
      <patternFill patternType="solid">
        <fgColor rgb="00F4F4F4"/>
      </patternFill>
    </fill>
    <fill>
      <patternFill patternType="solid">
        <fgColor rgb="001F4E5F"/>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0" fillId="2" borderId="0" pivotButton="0" quotePrefix="0" xfId="0"/>
    <xf numFmtId="0" fontId="0" fillId="3" borderId="0" pivotButton="0" quotePrefix="0" xfId="0"/>
    <xf numFmtId="0" fontId="2" fillId="3" borderId="1" pivotButton="0" quotePrefix="0" xfId="0"/>
    <xf numFmtId="1" fontId="0" fillId="3" borderId="1" pivotButton="0" quotePrefix="0" xfId="0"/>
    <xf numFmtId="4" fontId="0" fillId="3" borderId="1" pivotButton="0" quotePrefix="0" xfId="0"/>
    <xf numFmtId="0" fontId="3" fillId="4" borderId="0" pivotButton="0" quotePrefix="0" xfId="0"/>
    <xf numFmtId="0" fontId="0" fillId="3" borderId="1" pivotButton="0" quotePrefix="0" xfId="0"/>
    <xf numFmtId="0" fontId="3" fillId="4" borderId="0" applyAlignment="1" pivotButton="0" quotePrefix="0" xfId="0">
      <alignment horizontal="center" vertical="center" wrapText="1"/>
    </xf>
    <xf numFmtId="0" fontId="0" fillId="2" borderId="1" pivotButton="0" quotePrefix="0" xfId="0"/>
    <xf numFmtId="4" fontId="0" fillId="2" borderId="1" pivotButton="0" quotePrefix="0" xfId="0"/>
    <xf numFmtId="165" fontId="0" fillId="2" borderId="1" pivotButton="0" quotePrefix="0" xfId="0"/>
    <xf numFmtId="164" fontId="0" fillId="0" borderId="0" pivotButton="0" quotePrefix="0" xfId="0"/>
  </cellXfs>
  <cellStyles count="1">
    <cellStyle name="Normal" xfId="0" builtinId="0" hidden="0"/>
  </cellStyles>
  <dxfs count="3">
    <dxf>
      <fill>
        <patternFill patternType="solid">
          <fgColor rgb="00FDEBC8"/>
        </patternFill>
      </fill>
    </dxf>
    <dxf>
      <fill>
        <patternFill patternType="solid">
          <fgColor rgb="00F9D6D5"/>
        </patternFill>
      </fill>
    </dxf>
    <dxf>
      <fill>
        <patternFill patternType="solid">
          <fgColor rgb="00D9F2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chart>
    <title>
      <tx>
        <rich>
          <a:bodyPr/>
          <a:p>
            <a:pPr>
              <a:defRPr/>
            </a:pPr>
            <a:r>
              <a:t>Yearly cost by category</a:t>
            </a:r>
          </a:p>
        </rich>
      </tx>
    </title>
    <plotArea>
      <barChart>
        <barDir val="bar"/>
        <grouping val="clustered"/>
        <ser>
          <idx val="0"/>
          <order val="0"/>
          <tx>
            <strRef>
              <f>'Dashboard'!C11</f>
            </strRef>
          </tx>
          <spPr>
            <a:ln>
              <a:prstDash val="solid"/>
            </a:ln>
          </spPr>
          <cat>
            <numRef>
              <f>'Dashboard'!$A$12:$A$21</f>
            </numRef>
          </cat>
          <val>
            <numRef>
              <f>'Dashboard'!$C$12:$C$21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2</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A23"/>
  <sheetViews>
    <sheetView workbookViewId="0">
      <selection activeCell="A1" sqref="A1"/>
    </sheetView>
  </sheetViews>
  <sheetFormatPr baseColWidth="8" defaultRowHeight="15"/>
  <cols>
    <col width="110" customWidth="1" min="1" max="1"/>
  </cols>
  <sheetData>
    <row r="1">
      <c r="A1" s="1" t="inlineStr">
        <is>
          <t>Subscription Auditor</t>
        </is>
      </c>
    </row>
    <row r="3">
      <c r="A3" s="2" t="inlineStr">
        <is>
          <t>What this does:</t>
        </is>
      </c>
    </row>
    <row r="4">
      <c r="A4" s="3" t="inlineStr">
        <is>
          <t>List everything you pay for on repeat. The Dashboard shows what it costs per month and per year, what renews soon, and how much you could save by cutting what you barely use.</t>
        </is>
      </c>
    </row>
    <row r="5">
      <c r="A5" s="3" t="inlineStr"/>
    </row>
    <row r="6">
      <c r="A6" s="2" t="inlineStr">
        <is>
          <t>How to use it (10 minutes, once):</t>
        </is>
      </c>
    </row>
    <row r="7">
      <c r="A7" s="3" t="inlineStr">
        <is>
          <t>1. Go through your bank and card statements for the last 3 months and add each recurring charge on the Subscriptions sheet.</t>
        </is>
      </c>
    </row>
    <row r="8">
      <c r="A8" s="3" t="inlineStr">
        <is>
          <t>2. Enter the cost per charge, pick the billing cycle, and enter the next renewal date.</t>
        </is>
      </c>
    </row>
    <row r="9">
      <c r="A9" s="3" t="inlineStr">
        <is>
          <t>3. Pick how often you really use it. Be honest.</t>
        </is>
      </c>
    </row>
    <row r="10">
      <c r="A10" s="3" t="inlineStr">
        <is>
          <t>4. Mark each one Keep, Review or Cancel. Keep means you have decided to keep it, so it is left out of the savings figure.</t>
        </is>
      </c>
    </row>
    <row r="11">
      <c r="A11" s="3" t="inlineStr">
        <is>
          <t>5. Check the Flag column and the Dashboard.</t>
        </is>
      </c>
    </row>
    <row r="12">
      <c r="A12" s="3" t="inlineStr"/>
    </row>
    <row r="13">
      <c r="A13" s="2" t="inlineStr">
        <is>
          <t>Good to know:</t>
        </is>
      </c>
    </row>
    <row r="14">
      <c r="A14" s="3" t="inlineStr">
        <is>
          <t>- Flags: Renews soon (14 days or less), Low use - review (Rarely or Never used), Update renewal date (the date has passed), Cancelling.</t>
        </is>
      </c>
    </row>
    <row r="15">
      <c r="A15" s="3" t="inlineStr">
        <is>
          <t>- Potential savings = yearly cost of everything marked Cancel, plus everything used Rarely or Never that you have not marked Keep.</t>
        </is>
      </c>
    </row>
    <row r="16">
      <c r="A16" s="3" t="inlineStr">
        <is>
          <t>- You can rename the categories and add your own on the Lists sheet.</t>
        </is>
      </c>
    </row>
    <row r="17">
      <c r="A17" s="3" t="inlineStr">
        <is>
          <t>- To clear the example data, select the blue cells and press Delete. Never delete whole rows, as that removes the formulas.</t>
        </is>
      </c>
    </row>
    <row r="18">
      <c r="A18" s="3" t="inlineStr">
        <is>
          <t>- Built with standard formulas (SUMIFS, VLOOKUP, EDATE) that Excel, Google Sheets, LibreOffice and Apple Numbers support. Room for 200 subscriptions.</t>
        </is>
      </c>
    </row>
    <row r="19">
      <c r="A19" s="3" t="inlineStr">
        <is>
          <t>- Printing: every sheet prints landscape, one page wide. The Subscriptions sheet prints its first 60 rows. To print more, change the print area (Page Layout &gt; Print Area).</t>
        </is>
      </c>
    </row>
    <row r="21">
      <c r="A21" s="4" t="inlineStr">
        <is>
          <t>Colour key</t>
        </is>
      </c>
    </row>
    <row r="22">
      <c r="A22" s="5" t="inlineStr">
        <is>
          <t>Blue cells are for you to fill in.</t>
        </is>
      </c>
    </row>
    <row r="23">
      <c r="A23" s="6" t="inlineStr">
        <is>
          <t>Grey cells are formulas. Leave them alone.</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C21"/>
  <sheetViews>
    <sheetView workbookViewId="0">
      <selection activeCell="A1" sqref="A1"/>
    </sheetView>
  </sheetViews>
  <sheetFormatPr baseColWidth="8" defaultRowHeight="15"/>
  <cols>
    <col width="40" customWidth="1" min="1" max="1"/>
    <col width="18" customWidth="1" min="2" max="2"/>
    <col width="18" customWidth="1" min="3" max="3"/>
  </cols>
  <sheetData>
    <row r="1">
      <c r="A1" s="1" t="inlineStr">
        <is>
          <t>Dashboard</t>
        </is>
      </c>
    </row>
    <row r="3">
      <c r="A3" s="7" t="inlineStr">
        <is>
          <t>Active subscriptions</t>
        </is>
      </c>
      <c r="B3" s="8">
        <f>COUNTA(Subscriptions!$A$2:$A$201)</f>
        <v/>
      </c>
    </row>
    <row r="4">
      <c r="A4" s="7" t="inlineStr">
        <is>
          <t>Total per month</t>
        </is>
      </c>
      <c r="B4" s="9">
        <f>SUM(Subscriptions!$H$2:$H$201)</f>
        <v/>
      </c>
    </row>
    <row r="5">
      <c r="A5" s="7" t="inlineStr">
        <is>
          <t>Total per year</t>
        </is>
      </c>
      <c r="B5" s="9">
        <f>SUM(Subscriptions!$I$2:$I$201)</f>
        <v/>
      </c>
    </row>
    <row r="6">
      <c r="A6" s="7" t="inlineStr">
        <is>
          <t>Renewing in the next 30 days (count)</t>
        </is>
      </c>
      <c r="B6" s="8">
        <f>COUNTIFS(Subscriptions!$J$2:$J$201,"&gt;=0",Subscriptions!$J$2:$J$201,"&lt;=30")</f>
        <v/>
      </c>
    </row>
    <row r="7">
      <c r="A7" s="7" t="inlineStr">
        <is>
          <t>Renewing in the next 30 days (amount)</t>
        </is>
      </c>
      <c r="B7" s="9">
        <f>SUMIFS(Subscriptions!$C$2:$C$201,Subscriptions!$J$2:$J$201,"&gt;=0",Subscriptions!$J$2:$J$201,"&lt;=30")</f>
        <v/>
      </c>
    </row>
    <row r="8">
      <c r="A8" s="7" t="inlineStr">
        <is>
          <t>Potential yearly savings</t>
        </is>
      </c>
      <c r="B8" s="9">
        <f>SUMIFS(Subscriptions!$I$2:$I$201,Subscriptions!$G$2:$G$201,"Cancel")+SUMIFS(Subscriptions!$I$2:$I$201,Subscriptions!$F$2:$F$201,"Never",Subscriptions!$G$2:$G$201,"&lt;&gt;Cancel",Subscriptions!$G$2:$G$201,"&lt;&gt;Keep")+SUMIFS(Subscriptions!$I$2:$I$201,Subscriptions!$F$2:$F$201,"Rarely",Subscriptions!$G$2:$G$201,"&lt;&gt;Cancel",Subscriptions!$G$2:$G$201,"&lt;&gt;Keep")</f>
        <v/>
      </c>
    </row>
    <row r="11">
      <c r="A11" s="10" t="inlineStr">
        <is>
          <t>Category</t>
        </is>
      </c>
      <c r="B11" s="10" t="inlineStr">
        <is>
          <t>Per month</t>
        </is>
      </c>
      <c r="C11" s="10" t="inlineStr">
        <is>
          <t>Per year</t>
        </is>
      </c>
    </row>
    <row r="12">
      <c r="A12" s="11">
        <f>Lists!D4</f>
        <v/>
      </c>
      <c r="B12" s="9">
        <f>SUMIFS(Subscriptions!$H$2:$H$201,Subscriptions!$B$2:$B$201,A12)</f>
        <v/>
      </c>
      <c r="C12" s="9">
        <f>SUMIFS(Subscriptions!$I$2:$I$201,Subscriptions!$B$2:$B$201,A12)</f>
        <v/>
      </c>
    </row>
    <row r="13">
      <c r="A13" s="11">
        <f>Lists!D5</f>
        <v/>
      </c>
      <c r="B13" s="9">
        <f>SUMIFS(Subscriptions!$H$2:$H$201,Subscriptions!$B$2:$B$201,A13)</f>
        <v/>
      </c>
      <c r="C13" s="9">
        <f>SUMIFS(Subscriptions!$I$2:$I$201,Subscriptions!$B$2:$B$201,A13)</f>
        <v/>
      </c>
    </row>
    <row r="14">
      <c r="A14" s="11">
        <f>Lists!D6</f>
        <v/>
      </c>
      <c r="B14" s="9">
        <f>SUMIFS(Subscriptions!$H$2:$H$201,Subscriptions!$B$2:$B$201,A14)</f>
        <v/>
      </c>
      <c r="C14" s="9">
        <f>SUMIFS(Subscriptions!$I$2:$I$201,Subscriptions!$B$2:$B$201,A14)</f>
        <v/>
      </c>
    </row>
    <row r="15">
      <c r="A15" s="11">
        <f>Lists!D7</f>
        <v/>
      </c>
      <c r="B15" s="9">
        <f>SUMIFS(Subscriptions!$H$2:$H$201,Subscriptions!$B$2:$B$201,A15)</f>
        <v/>
      </c>
      <c r="C15" s="9">
        <f>SUMIFS(Subscriptions!$I$2:$I$201,Subscriptions!$B$2:$B$201,A15)</f>
        <v/>
      </c>
    </row>
    <row r="16">
      <c r="A16" s="11">
        <f>Lists!D8</f>
        <v/>
      </c>
      <c r="B16" s="9">
        <f>SUMIFS(Subscriptions!$H$2:$H$201,Subscriptions!$B$2:$B$201,A16)</f>
        <v/>
      </c>
      <c r="C16" s="9">
        <f>SUMIFS(Subscriptions!$I$2:$I$201,Subscriptions!$B$2:$B$201,A16)</f>
        <v/>
      </c>
    </row>
    <row r="17">
      <c r="A17" s="11">
        <f>Lists!D9</f>
        <v/>
      </c>
      <c r="B17" s="9">
        <f>SUMIFS(Subscriptions!$H$2:$H$201,Subscriptions!$B$2:$B$201,A17)</f>
        <v/>
      </c>
      <c r="C17" s="9">
        <f>SUMIFS(Subscriptions!$I$2:$I$201,Subscriptions!$B$2:$B$201,A17)</f>
        <v/>
      </c>
    </row>
    <row r="18">
      <c r="A18" s="11">
        <f>Lists!D10</f>
        <v/>
      </c>
      <c r="B18" s="9">
        <f>SUMIFS(Subscriptions!$H$2:$H$201,Subscriptions!$B$2:$B$201,A18)</f>
        <v/>
      </c>
      <c r="C18" s="9">
        <f>SUMIFS(Subscriptions!$I$2:$I$201,Subscriptions!$B$2:$B$201,A18)</f>
        <v/>
      </c>
    </row>
    <row r="19">
      <c r="A19" s="11">
        <f>Lists!D11</f>
        <v/>
      </c>
      <c r="B19" s="9">
        <f>SUMIFS(Subscriptions!$H$2:$H$201,Subscriptions!$B$2:$B$201,A19)</f>
        <v/>
      </c>
      <c r="C19" s="9">
        <f>SUMIFS(Subscriptions!$I$2:$I$201,Subscriptions!$B$2:$B$201,A19)</f>
        <v/>
      </c>
    </row>
    <row r="20">
      <c r="A20" s="11">
        <f>Lists!D12</f>
        <v/>
      </c>
      <c r="B20" s="9">
        <f>SUMIFS(Subscriptions!$H$2:$H$201,Subscriptions!$B$2:$B$201,A20)</f>
        <v/>
      </c>
      <c r="C20" s="9">
        <f>SUMIFS(Subscriptions!$I$2:$I$201,Subscriptions!$B$2:$B$201,A20)</f>
        <v/>
      </c>
    </row>
    <row r="21">
      <c r="A21" s="11">
        <f>Lists!D13</f>
        <v/>
      </c>
      <c r="B21" s="9">
        <f>SUMIFS(Subscriptions!$H$2:$H$201,Subscriptions!$B$2:$B$201,A21)</f>
        <v/>
      </c>
      <c r="C21" s="9">
        <f>SUMIFS(Subscriptions!$I$2:$I$201,Subscriptions!$B$2:$B$201,A21)</f>
        <v/>
      </c>
    </row>
  </sheetData>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K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8" customWidth="1" min="2" max="2"/>
    <col width="14" customWidth="1" min="3" max="3"/>
    <col width="16" customWidth="1" min="4" max="4"/>
    <col width="14" customWidth="1" min="5" max="5"/>
    <col width="15" customWidth="1" min="6" max="6"/>
    <col width="12" customWidth="1" min="7" max="7"/>
    <col width="14" customWidth="1" min="8" max="8"/>
    <col width="14" customWidth="1" min="9" max="9"/>
    <col width="13" customWidth="1" min="10" max="10"/>
    <col width="22" customWidth="1" min="11" max="11"/>
  </cols>
  <sheetData>
    <row r="1" ht="30" customHeight="1">
      <c r="A1" s="12" t="inlineStr">
        <is>
          <t>Service</t>
        </is>
      </c>
      <c r="B1" s="12" t="inlineStr">
        <is>
          <t>Category</t>
        </is>
      </c>
      <c r="C1" s="12" t="inlineStr">
        <is>
          <t>Cost per charge</t>
        </is>
      </c>
      <c r="D1" s="12" t="inlineStr">
        <is>
          <t>Billing cycle</t>
        </is>
      </c>
      <c r="E1" s="12" t="inlineStr">
        <is>
          <t>Next renewal</t>
        </is>
      </c>
      <c r="F1" s="12" t="inlineStr">
        <is>
          <t>How often used</t>
        </is>
      </c>
      <c r="G1" s="12" t="inlineStr">
        <is>
          <t>Decision</t>
        </is>
      </c>
      <c r="H1" s="12" t="inlineStr">
        <is>
          <t>Monthly cost</t>
        </is>
      </c>
      <c r="I1" s="12" t="inlineStr">
        <is>
          <t>Yearly cost</t>
        </is>
      </c>
      <c r="J1" s="12" t="inlineStr">
        <is>
          <t>Days to renewal</t>
        </is>
      </c>
      <c r="K1" s="12" t="inlineStr">
        <is>
          <t>Flag</t>
        </is>
      </c>
    </row>
    <row r="2">
      <c r="A2" s="13" t="inlineStr">
        <is>
          <t>StreamFlix</t>
        </is>
      </c>
      <c r="B2" s="13" t="inlineStr">
        <is>
          <t>Entertainment</t>
        </is>
      </c>
      <c r="C2" s="14" t="n">
        <v>15.49</v>
      </c>
      <c r="D2" s="13" t="inlineStr">
        <is>
          <t>Monthly</t>
        </is>
      </c>
      <c r="E2" s="15">
        <f>TODAY()+5</f>
        <v/>
      </c>
      <c r="F2" s="13" t="inlineStr">
        <is>
          <t>Weekly</t>
        </is>
      </c>
      <c r="G2" s="13" t="inlineStr">
        <is>
          <t>Keep</t>
        </is>
      </c>
      <c r="H2" s="9">
        <f>IF(OR(C2="",D2=""),"",C2*VLOOKUP(D2,Lists!$A$4:$B$9,2,FALSE))</f>
        <v/>
      </c>
      <c r="I2" s="9">
        <f>IF(H2="","",H2*12)</f>
        <v/>
      </c>
      <c r="J2" s="8">
        <f>IF(E2="","",E2-TODAY())</f>
        <v/>
      </c>
      <c r="K2" s="11">
        <f>IF(A2="","",IF(G2="Cancel","Cancelling",IF(AND(J2&lt;&gt;"",J2&lt;0),"Update renewal date",IF(OR(F2="Rarely",F2="Never"),"Low use - review",IF(AND(J2&lt;&gt;"",J2&lt;=14),"Renews soon","")))))</f>
        <v/>
      </c>
    </row>
    <row r="3">
      <c r="A3" s="13" t="inlineStr">
        <is>
          <t>Cloud storage 2TB</t>
        </is>
      </c>
      <c r="B3" s="13" t="inlineStr">
        <is>
          <t>Cloud &amp; storage</t>
        </is>
      </c>
      <c r="C3" s="14" t="n">
        <v>99.98999999999999</v>
      </c>
      <c r="D3" s="13" t="inlineStr">
        <is>
          <t>Yearly</t>
        </is>
      </c>
      <c r="E3" s="15">
        <f>TODAY()+120</f>
        <v/>
      </c>
      <c r="F3" s="13" t="inlineStr">
        <is>
          <t>Daily</t>
        </is>
      </c>
      <c r="G3" s="13" t="inlineStr">
        <is>
          <t>Keep</t>
        </is>
      </c>
      <c r="H3" s="9">
        <f>IF(OR(C3="",D3=""),"",C3*VLOOKUP(D3,Lists!$A$4:$B$9,2,FALSE))</f>
        <v/>
      </c>
      <c r="I3" s="9">
        <f>IF(H3="","",H3*12)</f>
        <v/>
      </c>
      <c r="J3" s="8">
        <f>IF(E3="","",E3-TODAY())</f>
        <v/>
      </c>
      <c r="K3" s="11">
        <f>IF(A3="","",IF(G3="Cancel","Cancelling",IF(AND(J3&lt;&gt;"",J3&lt;0),"Update renewal date",IF(OR(F3="Rarely",F3="Never"),"Low use - review",IF(AND(J3&lt;&gt;"",J3&lt;=14),"Renews soon","")))))</f>
        <v/>
      </c>
    </row>
    <row r="4">
      <c r="A4" s="13" t="inlineStr">
        <is>
          <t>Gym membership</t>
        </is>
      </c>
      <c r="B4" s="13" t="inlineStr">
        <is>
          <t>Health &amp; fitness</t>
        </is>
      </c>
      <c r="C4" s="14" t="n">
        <v>39</v>
      </c>
      <c r="D4" s="13" t="inlineStr">
        <is>
          <t>Monthly</t>
        </is>
      </c>
      <c r="E4" s="15">
        <f>TODAY()+20</f>
        <v/>
      </c>
      <c r="F4" s="13" t="inlineStr">
        <is>
          <t>Rarely</t>
        </is>
      </c>
      <c r="G4" s="13" t="n"/>
      <c r="H4" s="9">
        <f>IF(OR(C4="",D4=""),"",C4*VLOOKUP(D4,Lists!$A$4:$B$9,2,FALSE))</f>
        <v/>
      </c>
      <c r="I4" s="9">
        <f>IF(H4="","",H4*12)</f>
        <v/>
      </c>
      <c r="J4" s="8">
        <f>IF(E4="","",E4-TODAY())</f>
        <v/>
      </c>
      <c r="K4" s="11">
        <f>IF(A4="","",IF(G4="Cancel","Cancelling",IF(AND(J4&lt;&gt;"",J4&lt;0),"Update renewal date",IF(OR(F4="Rarely",F4="Never"),"Low use - review",IF(AND(J4&lt;&gt;"",J4&lt;=14),"Renews soon","")))))</f>
        <v/>
      </c>
    </row>
    <row r="5">
      <c r="A5" s="13" t="inlineStr">
        <is>
          <t>Language app</t>
        </is>
      </c>
      <c r="B5" s="13" t="inlineStr">
        <is>
          <t>Education</t>
        </is>
      </c>
      <c r="C5" s="14" t="n">
        <v>12.99</v>
      </c>
      <c r="D5" s="13" t="inlineStr">
        <is>
          <t>Monthly</t>
        </is>
      </c>
      <c r="E5" s="15">
        <f>TODAY()+11</f>
        <v/>
      </c>
      <c r="F5" s="13" t="inlineStr">
        <is>
          <t>Never</t>
        </is>
      </c>
      <c r="G5" s="13" t="inlineStr">
        <is>
          <t>Cancel</t>
        </is>
      </c>
      <c r="H5" s="9">
        <f>IF(OR(C5="",D5=""),"",C5*VLOOKUP(D5,Lists!$A$4:$B$9,2,FALSE))</f>
        <v/>
      </c>
      <c r="I5" s="9">
        <f>IF(H5="","",H5*12)</f>
        <v/>
      </c>
      <c r="J5" s="8">
        <f>IF(E5="","",E5-TODAY())</f>
        <v/>
      </c>
      <c r="K5" s="11">
        <f>IF(A5="","",IF(G5="Cancel","Cancelling",IF(AND(J5&lt;&gt;"",J5&lt;0),"Update renewal date",IF(OR(F5="Rarely",F5="Never"),"Low use - review",IF(AND(J5&lt;&gt;"",J5&lt;=14),"Renews soon","")))))</f>
        <v/>
      </c>
    </row>
    <row r="6">
      <c r="A6" s="13" t="inlineStr">
        <is>
          <t>News site</t>
        </is>
      </c>
      <c r="B6" s="13" t="inlineStr">
        <is>
          <t>News &amp; media</t>
        </is>
      </c>
      <c r="C6" s="14" t="n">
        <v>8</v>
      </c>
      <c r="D6" s="13" t="inlineStr">
        <is>
          <t>Monthly</t>
        </is>
      </c>
      <c r="E6" s="15">
        <f>TODAY()-3</f>
        <v/>
      </c>
      <c r="F6" s="13" t="inlineStr">
        <is>
          <t>Monthly</t>
        </is>
      </c>
      <c r="G6" s="13" t="n"/>
      <c r="H6" s="9">
        <f>IF(OR(C6="",D6=""),"",C6*VLOOKUP(D6,Lists!$A$4:$B$9,2,FALSE))</f>
        <v/>
      </c>
      <c r="I6" s="9">
        <f>IF(H6="","",H6*12)</f>
        <v/>
      </c>
      <c r="J6" s="8">
        <f>IF(E6="","",E6-TODAY())</f>
        <v/>
      </c>
      <c r="K6" s="11">
        <f>IF(A6="","",IF(G6="Cancel","Cancelling",IF(AND(J6&lt;&gt;"",J6&lt;0),"Update renewal date",IF(OR(F6="Rarely",F6="Never"),"Low use - review",IF(AND(J6&lt;&gt;"",J6&lt;=14),"Renews soon","")))))</f>
        <v/>
      </c>
    </row>
    <row r="7">
      <c r="A7" s="13" t="inlineStr">
        <is>
          <t>Design software</t>
        </is>
      </c>
      <c r="B7" s="13" t="inlineStr">
        <is>
          <t>Software</t>
        </is>
      </c>
      <c r="C7" s="14" t="n">
        <v>54.99</v>
      </c>
      <c r="D7" s="13" t="inlineStr">
        <is>
          <t>Monthly</t>
        </is>
      </c>
      <c r="E7" s="15">
        <f>TODAY()+26</f>
        <v/>
      </c>
      <c r="F7" s="13" t="inlineStr">
        <is>
          <t>Daily</t>
        </is>
      </c>
      <c r="G7" s="13" t="inlineStr">
        <is>
          <t>Keep</t>
        </is>
      </c>
      <c r="H7" s="9">
        <f>IF(OR(C7="",D7=""),"",C7*VLOOKUP(D7,Lists!$A$4:$B$9,2,FALSE))</f>
        <v/>
      </c>
      <c r="I7" s="9">
        <f>IF(H7="","",H7*12)</f>
        <v/>
      </c>
      <c r="J7" s="8">
        <f>IF(E7="","",E7-TODAY())</f>
        <v/>
      </c>
      <c r="K7" s="11">
        <f>IF(A7="","",IF(G7="Cancel","Cancelling",IF(AND(J7&lt;&gt;"",J7&lt;0),"Update renewal date",IF(OR(F7="Rarely",F7="Never"),"Low use - review",IF(AND(J7&lt;&gt;"",J7&lt;=14),"Renews soon","")))))</f>
        <v/>
      </c>
    </row>
    <row r="8">
      <c r="A8" s="13" t="n"/>
      <c r="B8" s="13" t="n"/>
      <c r="C8" s="14" t="n"/>
      <c r="D8" s="13" t="n"/>
      <c r="E8" s="15" t="n"/>
      <c r="F8" s="13" t="n"/>
      <c r="G8" s="13" t="n"/>
      <c r="H8" s="9">
        <f>IF(OR(C8="",D8=""),"",C8*VLOOKUP(D8,Lists!$A$4:$B$9,2,FALSE))</f>
        <v/>
      </c>
      <c r="I8" s="9">
        <f>IF(H8="","",H8*12)</f>
        <v/>
      </c>
      <c r="J8" s="8">
        <f>IF(E8="","",E8-TODAY())</f>
        <v/>
      </c>
      <c r="K8" s="11">
        <f>IF(A8="","",IF(G8="Cancel","Cancelling",IF(AND(J8&lt;&gt;"",J8&lt;0),"Update renewal date",IF(OR(F8="Rarely",F8="Never"),"Low use - review",IF(AND(J8&lt;&gt;"",J8&lt;=14),"Renews soon","")))))</f>
        <v/>
      </c>
    </row>
    <row r="9">
      <c r="A9" s="13" t="n"/>
      <c r="B9" s="13" t="n"/>
      <c r="C9" s="14" t="n"/>
      <c r="D9" s="13" t="n"/>
      <c r="E9" s="15" t="n"/>
      <c r="F9" s="13" t="n"/>
      <c r="G9" s="13" t="n"/>
      <c r="H9" s="9">
        <f>IF(OR(C9="",D9=""),"",C9*VLOOKUP(D9,Lists!$A$4:$B$9,2,FALSE))</f>
        <v/>
      </c>
      <c r="I9" s="9">
        <f>IF(H9="","",H9*12)</f>
        <v/>
      </c>
      <c r="J9" s="8">
        <f>IF(E9="","",E9-TODAY())</f>
        <v/>
      </c>
      <c r="K9" s="11">
        <f>IF(A9="","",IF(G9="Cancel","Cancelling",IF(AND(J9&lt;&gt;"",J9&lt;0),"Update renewal date",IF(OR(F9="Rarely",F9="Never"),"Low use - review",IF(AND(J9&lt;&gt;"",J9&lt;=14),"Renews soon","")))))</f>
        <v/>
      </c>
    </row>
    <row r="10">
      <c r="A10" s="13" t="n"/>
      <c r="B10" s="13" t="n"/>
      <c r="C10" s="14" t="n"/>
      <c r="D10" s="13" t="n"/>
      <c r="E10" s="15" t="n"/>
      <c r="F10" s="13" t="n"/>
      <c r="G10" s="13" t="n"/>
      <c r="H10" s="9">
        <f>IF(OR(C10="",D10=""),"",C10*VLOOKUP(D10,Lists!$A$4:$B$9,2,FALSE))</f>
        <v/>
      </c>
      <c r="I10" s="9">
        <f>IF(H10="","",H10*12)</f>
        <v/>
      </c>
      <c r="J10" s="8">
        <f>IF(E10="","",E10-TODAY())</f>
        <v/>
      </c>
      <c r="K10" s="11">
        <f>IF(A10="","",IF(G10="Cancel","Cancelling",IF(AND(J10&lt;&gt;"",J10&lt;0),"Update renewal date",IF(OR(F10="Rarely",F10="Never"),"Low use - review",IF(AND(J10&lt;&gt;"",J10&lt;=14),"Renews soon","")))))</f>
        <v/>
      </c>
    </row>
    <row r="11">
      <c r="A11" s="13" t="n"/>
      <c r="B11" s="13" t="n"/>
      <c r="C11" s="14" t="n"/>
      <c r="D11" s="13" t="n"/>
      <c r="E11" s="15" t="n"/>
      <c r="F11" s="13" t="n"/>
      <c r="G11" s="13" t="n"/>
      <c r="H11" s="9">
        <f>IF(OR(C11="",D11=""),"",C11*VLOOKUP(D11,Lists!$A$4:$B$9,2,FALSE))</f>
        <v/>
      </c>
      <c r="I11" s="9">
        <f>IF(H11="","",H11*12)</f>
        <v/>
      </c>
      <c r="J11" s="8">
        <f>IF(E11="","",E11-TODAY())</f>
        <v/>
      </c>
      <c r="K11" s="11">
        <f>IF(A11="","",IF(G11="Cancel","Cancelling",IF(AND(J11&lt;&gt;"",J11&lt;0),"Update renewal date",IF(OR(F11="Rarely",F11="Never"),"Low use - review",IF(AND(J11&lt;&gt;"",J11&lt;=14),"Renews soon","")))))</f>
        <v/>
      </c>
    </row>
    <row r="12">
      <c r="A12" s="13" t="n"/>
      <c r="B12" s="13" t="n"/>
      <c r="C12" s="14" t="n"/>
      <c r="D12" s="13" t="n"/>
      <c r="E12" s="15" t="n"/>
      <c r="F12" s="13" t="n"/>
      <c r="G12" s="13" t="n"/>
      <c r="H12" s="9">
        <f>IF(OR(C12="",D12=""),"",C12*VLOOKUP(D12,Lists!$A$4:$B$9,2,FALSE))</f>
        <v/>
      </c>
      <c r="I12" s="9">
        <f>IF(H12="","",H12*12)</f>
        <v/>
      </c>
      <c r="J12" s="8">
        <f>IF(E12="","",E12-TODAY())</f>
        <v/>
      </c>
      <c r="K12" s="11">
        <f>IF(A12="","",IF(G12="Cancel","Cancelling",IF(AND(J12&lt;&gt;"",J12&lt;0),"Update renewal date",IF(OR(F12="Rarely",F12="Never"),"Low use - review",IF(AND(J12&lt;&gt;"",J12&lt;=14),"Renews soon","")))))</f>
        <v/>
      </c>
    </row>
    <row r="13">
      <c r="A13" s="13" t="n"/>
      <c r="B13" s="13" t="n"/>
      <c r="C13" s="14" t="n"/>
      <c r="D13" s="13" t="n"/>
      <c r="E13" s="15" t="n"/>
      <c r="F13" s="13" t="n"/>
      <c r="G13" s="13" t="n"/>
      <c r="H13" s="9">
        <f>IF(OR(C13="",D13=""),"",C13*VLOOKUP(D13,Lists!$A$4:$B$9,2,FALSE))</f>
        <v/>
      </c>
      <c r="I13" s="9">
        <f>IF(H13="","",H13*12)</f>
        <v/>
      </c>
      <c r="J13" s="8">
        <f>IF(E13="","",E13-TODAY())</f>
        <v/>
      </c>
      <c r="K13" s="11">
        <f>IF(A13="","",IF(G13="Cancel","Cancelling",IF(AND(J13&lt;&gt;"",J13&lt;0),"Update renewal date",IF(OR(F13="Rarely",F13="Never"),"Low use - review",IF(AND(J13&lt;&gt;"",J13&lt;=14),"Renews soon","")))))</f>
        <v/>
      </c>
    </row>
    <row r="14">
      <c r="A14" s="13" t="n"/>
      <c r="B14" s="13" t="n"/>
      <c r="C14" s="14" t="n"/>
      <c r="D14" s="13" t="n"/>
      <c r="E14" s="15" t="n"/>
      <c r="F14" s="13" t="n"/>
      <c r="G14" s="13" t="n"/>
      <c r="H14" s="9">
        <f>IF(OR(C14="",D14=""),"",C14*VLOOKUP(D14,Lists!$A$4:$B$9,2,FALSE))</f>
        <v/>
      </c>
      <c r="I14" s="9">
        <f>IF(H14="","",H14*12)</f>
        <v/>
      </c>
      <c r="J14" s="8">
        <f>IF(E14="","",E14-TODAY())</f>
        <v/>
      </c>
      <c r="K14" s="11">
        <f>IF(A14="","",IF(G14="Cancel","Cancelling",IF(AND(J14&lt;&gt;"",J14&lt;0),"Update renewal date",IF(OR(F14="Rarely",F14="Never"),"Low use - review",IF(AND(J14&lt;&gt;"",J14&lt;=14),"Renews soon","")))))</f>
        <v/>
      </c>
    </row>
    <row r="15">
      <c r="A15" s="13" t="n"/>
      <c r="B15" s="13" t="n"/>
      <c r="C15" s="14" t="n"/>
      <c r="D15" s="13" t="n"/>
      <c r="E15" s="15" t="n"/>
      <c r="F15" s="13" t="n"/>
      <c r="G15" s="13" t="n"/>
      <c r="H15" s="9">
        <f>IF(OR(C15="",D15=""),"",C15*VLOOKUP(D15,Lists!$A$4:$B$9,2,FALSE))</f>
        <v/>
      </c>
      <c r="I15" s="9">
        <f>IF(H15="","",H15*12)</f>
        <v/>
      </c>
      <c r="J15" s="8">
        <f>IF(E15="","",E15-TODAY())</f>
        <v/>
      </c>
      <c r="K15" s="11">
        <f>IF(A15="","",IF(G15="Cancel","Cancelling",IF(AND(J15&lt;&gt;"",J15&lt;0),"Update renewal date",IF(OR(F15="Rarely",F15="Never"),"Low use - review",IF(AND(J15&lt;&gt;"",J15&lt;=14),"Renews soon","")))))</f>
        <v/>
      </c>
    </row>
    <row r="16">
      <c r="A16" s="13" t="n"/>
      <c r="B16" s="13" t="n"/>
      <c r="C16" s="14" t="n"/>
      <c r="D16" s="13" t="n"/>
      <c r="E16" s="15" t="n"/>
      <c r="F16" s="13" t="n"/>
      <c r="G16" s="13" t="n"/>
      <c r="H16" s="9">
        <f>IF(OR(C16="",D16=""),"",C16*VLOOKUP(D16,Lists!$A$4:$B$9,2,FALSE))</f>
        <v/>
      </c>
      <c r="I16" s="9">
        <f>IF(H16="","",H16*12)</f>
        <v/>
      </c>
      <c r="J16" s="8">
        <f>IF(E16="","",E16-TODAY())</f>
        <v/>
      </c>
      <c r="K16" s="11">
        <f>IF(A16="","",IF(G16="Cancel","Cancelling",IF(AND(J16&lt;&gt;"",J16&lt;0),"Update renewal date",IF(OR(F16="Rarely",F16="Never"),"Low use - review",IF(AND(J16&lt;&gt;"",J16&lt;=14),"Renews soon","")))))</f>
        <v/>
      </c>
    </row>
    <row r="17">
      <c r="A17" s="13" t="n"/>
      <c r="B17" s="13" t="n"/>
      <c r="C17" s="14" t="n"/>
      <c r="D17" s="13" t="n"/>
      <c r="E17" s="15" t="n"/>
      <c r="F17" s="13" t="n"/>
      <c r="G17" s="13" t="n"/>
      <c r="H17" s="9">
        <f>IF(OR(C17="",D17=""),"",C17*VLOOKUP(D17,Lists!$A$4:$B$9,2,FALSE))</f>
        <v/>
      </c>
      <c r="I17" s="9">
        <f>IF(H17="","",H17*12)</f>
        <v/>
      </c>
      <c r="J17" s="8">
        <f>IF(E17="","",E17-TODAY())</f>
        <v/>
      </c>
      <c r="K17" s="11">
        <f>IF(A17="","",IF(G17="Cancel","Cancelling",IF(AND(J17&lt;&gt;"",J17&lt;0),"Update renewal date",IF(OR(F17="Rarely",F17="Never"),"Low use - review",IF(AND(J17&lt;&gt;"",J17&lt;=14),"Renews soon","")))))</f>
        <v/>
      </c>
    </row>
    <row r="18">
      <c r="A18" s="13" t="n"/>
      <c r="B18" s="13" t="n"/>
      <c r="C18" s="14" t="n"/>
      <c r="D18" s="13" t="n"/>
      <c r="E18" s="15" t="n"/>
      <c r="F18" s="13" t="n"/>
      <c r="G18" s="13" t="n"/>
      <c r="H18" s="9">
        <f>IF(OR(C18="",D18=""),"",C18*VLOOKUP(D18,Lists!$A$4:$B$9,2,FALSE))</f>
        <v/>
      </c>
      <c r="I18" s="9">
        <f>IF(H18="","",H18*12)</f>
        <v/>
      </c>
      <c r="J18" s="8">
        <f>IF(E18="","",E18-TODAY())</f>
        <v/>
      </c>
      <c r="K18" s="11">
        <f>IF(A18="","",IF(G18="Cancel","Cancelling",IF(AND(J18&lt;&gt;"",J18&lt;0),"Update renewal date",IF(OR(F18="Rarely",F18="Never"),"Low use - review",IF(AND(J18&lt;&gt;"",J18&lt;=14),"Renews soon","")))))</f>
        <v/>
      </c>
    </row>
    <row r="19">
      <c r="A19" s="13" t="n"/>
      <c r="B19" s="13" t="n"/>
      <c r="C19" s="14" t="n"/>
      <c r="D19" s="13" t="n"/>
      <c r="E19" s="15" t="n"/>
      <c r="F19" s="13" t="n"/>
      <c r="G19" s="13" t="n"/>
      <c r="H19" s="9">
        <f>IF(OR(C19="",D19=""),"",C19*VLOOKUP(D19,Lists!$A$4:$B$9,2,FALSE))</f>
        <v/>
      </c>
      <c r="I19" s="9">
        <f>IF(H19="","",H19*12)</f>
        <v/>
      </c>
      <c r="J19" s="8">
        <f>IF(E19="","",E19-TODAY())</f>
        <v/>
      </c>
      <c r="K19" s="11">
        <f>IF(A19="","",IF(G19="Cancel","Cancelling",IF(AND(J19&lt;&gt;"",J19&lt;0),"Update renewal date",IF(OR(F19="Rarely",F19="Never"),"Low use - review",IF(AND(J19&lt;&gt;"",J19&lt;=14),"Renews soon","")))))</f>
        <v/>
      </c>
    </row>
    <row r="20">
      <c r="A20" s="13" t="n"/>
      <c r="B20" s="13" t="n"/>
      <c r="C20" s="14" t="n"/>
      <c r="D20" s="13" t="n"/>
      <c r="E20" s="15" t="n"/>
      <c r="F20" s="13" t="n"/>
      <c r="G20" s="13" t="n"/>
      <c r="H20" s="9">
        <f>IF(OR(C20="",D20=""),"",C20*VLOOKUP(D20,Lists!$A$4:$B$9,2,FALSE))</f>
        <v/>
      </c>
      <c r="I20" s="9">
        <f>IF(H20="","",H20*12)</f>
        <v/>
      </c>
      <c r="J20" s="8">
        <f>IF(E20="","",E20-TODAY())</f>
        <v/>
      </c>
      <c r="K20" s="11">
        <f>IF(A20="","",IF(G20="Cancel","Cancelling",IF(AND(J20&lt;&gt;"",J20&lt;0),"Update renewal date",IF(OR(F20="Rarely",F20="Never"),"Low use - review",IF(AND(J20&lt;&gt;"",J20&lt;=14),"Renews soon","")))))</f>
        <v/>
      </c>
    </row>
    <row r="21">
      <c r="A21" s="13" t="n"/>
      <c r="B21" s="13" t="n"/>
      <c r="C21" s="14" t="n"/>
      <c r="D21" s="13" t="n"/>
      <c r="E21" s="15" t="n"/>
      <c r="F21" s="13" t="n"/>
      <c r="G21" s="13" t="n"/>
      <c r="H21" s="9">
        <f>IF(OR(C21="",D21=""),"",C21*VLOOKUP(D21,Lists!$A$4:$B$9,2,FALSE))</f>
        <v/>
      </c>
      <c r="I21" s="9">
        <f>IF(H21="","",H21*12)</f>
        <v/>
      </c>
      <c r="J21" s="8">
        <f>IF(E21="","",E21-TODAY())</f>
        <v/>
      </c>
      <c r="K21" s="11">
        <f>IF(A21="","",IF(G21="Cancel","Cancelling",IF(AND(J21&lt;&gt;"",J21&lt;0),"Update renewal date",IF(OR(F21="Rarely",F21="Never"),"Low use - review",IF(AND(J21&lt;&gt;"",J21&lt;=14),"Renews soon","")))))</f>
        <v/>
      </c>
    </row>
    <row r="22">
      <c r="A22" s="13" t="n"/>
      <c r="B22" s="13" t="n"/>
      <c r="C22" s="14" t="n"/>
      <c r="D22" s="13" t="n"/>
      <c r="E22" s="15" t="n"/>
      <c r="F22" s="13" t="n"/>
      <c r="G22" s="13" t="n"/>
      <c r="H22" s="9">
        <f>IF(OR(C22="",D22=""),"",C22*VLOOKUP(D22,Lists!$A$4:$B$9,2,FALSE))</f>
        <v/>
      </c>
      <c r="I22" s="9">
        <f>IF(H22="","",H22*12)</f>
        <v/>
      </c>
      <c r="J22" s="8">
        <f>IF(E22="","",E22-TODAY())</f>
        <v/>
      </c>
      <c r="K22" s="11">
        <f>IF(A22="","",IF(G22="Cancel","Cancelling",IF(AND(J22&lt;&gt;"",J22&lt;0),"Update renewal date",IF(OR(F22="Rarely",F22="Never"),"Low use - review",IF(AND(J22&lt;&gt;"",J22&lt;=14),"Renews soon","")))))</f>
        <v/>
      </c>
    </row>
    <row r="23">
      <c r="A23" s="13" t="n"/>
      <c r="B23" s="13" t="n"/>
      <c r="C23" s="14" t="n"/>
      <c r="D23" s="13" t="n"/>
      <c r="E23" s="15" t="n"/>
      <c r="F23" s="13" t="n"/>
      <c r="G23" s="13" t="n"/>
      <c r="H23" s="9">
        <f>IF(OR(C23="",D23=""),"",C23*VLOOKUP(D23,Lists!$A$4:$B$9,2,FALSE))</f>
        <v/>
      </c>
      <c r="I23" s="9">
        <f>IF(H23="","",H23*12)</f>
        <v/>
      </c>
      <c r="J23" s="8">
        <f>IF(E23="","",E23-TODAY())</f>
        <v/>
      </c>
      <c r="K23" s="11">
        <f>IF(A23="","",IF(G23="Cancel","Cancelling",IF(AND(J23&lt;&gt;"",J23&lt;0),"Update renewal date",IF(OR(F23="Rarely",F23="Never"),"Low use - review",IF(AND(J23&lt;&gt;"",J23&lt;=14),"Renews soon","")))))</f>
        <v/>
      </c>
    </row>
    <row r="24">
      <c r="A24" s="13" t="n"/>
      <c r="B24" s="13" t="n"/>
      <c r="C24" s="14" t="n"/>
      <c r="D24" s="13" t="n"/>
      <c r="E24" s="15" t="n"/>
      <c r="F24" s="13" t="n"/>
      <c r="G24" s="13" t="n"/>
      <c r="H24" s="9">
        <f>IF(OR(C24="",D24=""),"",C24*VLOOKUP(D24,Lists!$A$4:$B$9,2,FALSE))</f>
        <v/>
      </c>
      <c r="I24" s="9">
        <f>IF(H24="","",H24*12)</f>
        <v/>
      </c>
      <c r="J24" s="8">
        <f>IF(E24="","",E24-TODAY())</f>
        <v/>
      </c>
      <c r="K24" s="11">
        <f>IF(A24="","",IF(G24="Cancel","Cancelling",IF(AND(J24&lt;&gt;"",J24&lt;0),"Update renewal date",IF(OR(F24="Rarely",F24="Never"),"Low use - review",IF(AND(J24&lt;&gt;"",J24&lt;=14),"Renews soon","")))))</f>
        <v/>
      </c>
    </row>
    <row r="25">
      <c r="A25" s="13" t="n"/>
      <c r="B25" s="13" t="n"/>
      <c r="C25" s="14" t="n"/>
      <c r="D25" s="13" t="n"/>
      <c r="E25" s="15" t="n"/>
      <c r="F25" s="13" t="n"/>
      <c r="G25" s="13" t="n"/>
      <c r="H25" s="9">
        <f>IF(OR(C25="",D25=""),"",C25*VLOOKUP(D25,Lists!$A$4:$B$9,2,FALSE))</f>
        <v/>
      </c>
      <c r="I25" s="9">
        <f>IF(H25="","",H25*12)</f>
        <v/>
      </c>
      <c r="J25" s="8">
        <f>IF(E25="","",E25-TODAY())</f>
        <v/>
      </c>
      <c r="K25" s="11">
        <f>IF(A25="","",IF(G25="Cancel","Cancelling",IF(AND(J25&lt;&gt;"",J25&lt;0),"Update renewal date",IF(OR(F25="Rarely",F25="Never"),"Low use - review",IF(AND(J25&lt;&gt;"",J25&lt;=14),"Renews soon","")))))</f>
        <v/>
      </c>
    </row>
    <row r="26">
      <c r="A26" s="13" t="n"/>
      <c r="B26" s="13" t="n"/>
      <c r="C26" s="14" t="n"/>
      <c r="D26" s="13" t="n"/>
      <c r="E26" s="15" t="n"/>
      <c r="F26" s="13" t="n"/>
      <c r="G26" s="13" t="n"/>
      <c r="H26" s="9">
        <f>IF(OR(C26="",D26=""),"",C26*VLOOKUP(D26,Lists!$A$4:$B$9,2,FALSE))</f>
        <v/>
      </c>
      <c r="I26" s="9">
        <f>IF(H26="","",H26*12)</f>
        <v/>
      </c>
      <c r="J26" s="8">
        <f>IF(E26="","",E26-TODAY())</f>
        <v/>
      </c>
      <c r="K26" s="11">
        <f>IF(A26="","",IF(G26="Cancel","Cancelling",IF(AND(J26&lt;&gt;"",J26&lt;0),"Update renewal date",IF(OR(F26="Rarely",F26="Never"),"Low use - review",IF(AND(J26&lt;&gt;"",J26&lt;=14),"Renews soon","")))))</f>
        <v/>
      </c>
    </row>
    <row r="27">
      <c r="A27" s="13" t="n"/>
      <c r="B27" s="13" t="n"/>
      <c r="C27" s="14" t="n"/>
      <c r="D27" s="13" t="n"/>
      <c r="E27" s="15" t="n"/>
      <c r="F27" s="13" t="n"/>
      <c r="G27" s="13" t="n"/>
      <c r="H27" s="9">
        <f>IF(OR(C27="",D27=""),"",C27*VLOOKUP(D27,Lists!$A$4:$B$9,2,FALSE))</f>
        <v/>
      </c>
      <c r="I27" s="9">
        <f>IF(H27="","",H27*12)</f>
        <v/>
      </c>
      <c r="J27" s="8">
        <f>IF(E27="","",E27-TODAY())</f>
        <v/>
      </c>
      <c r="K27" s="11">
        <f>IF(A27="","",IF(G27="Cancel","Cancelling",IF(AND(J27&lt;&gt;"",J27&lt;0),"Update renewal date",IF(OR(F27="Rarely",F27="Never"),"Low use - review",IF(AND(J27&lt;&gt;"",J27&lt;=14),"Renews soon","")))))</f>
        <v/>
      </c>
    </row>
    <row r="28">
      <c r="A28" s="13" t="n"/>
      <c r="B28" s="13" t="n"/>
      <c r="C28" s="14" t="n"/>
      <c r="D28" s="13" t="n"/>
      <c r="E28" s="15" t="n"/>
      <c r="F28" s="13" t="n"/>
      <c r="G28" s="13" t="n"/>
      <c r="H28" s="9">
        <f>IF(OR(C28="",D28=""),"",C28*VLOOKUP(D28,Lists!$A$4:$B$9,2,FALSE))</f>
        <v/>
      </c>
      <c r="I28" s="9">
        <f>IF(H28="","",H28*12)</f>
        <v/>
      </c>
      <c r="J28" s="8">
        <f>IF(E28="","",E28-TODAY())</f>
        <v/>
      </c>
      <c r="K28" s="11">
        <f>IF(A28="","",IF(G28="Cancel","Cancelling",IF(AND(J28&lt;&gt;"",J28&lt;0),"Update renewal date",IF(OR(F28="Rarely",F28="Never"),"Low use - review",IF(AND(J28&lt;&gt;"",J28&lt;=14),"Renews soon","")))))</f>
        <v/>
      </c>
    </row>
    <row r="29">
      <c r="A29" s="13" t="n"/>
      <c r="B29" s="13" t="n"/>
      <c r="C29" s="14" t="n"/>
      <c r="D29" s="13" t="n"/>
      <c r="E29" s="15" t="n"/>
      <c r="F29" s="13" t="n"/>
      <c r="G29" s="13" t="n"/>
      <c r="H29" s="9">
        <f>IF(OR(C29="",D29=""),"",C29*VLOOKUP(D29,Lists!$A$4:$B$9,2,FALSE))</f>
        <v/>
      </c>
      <c r="I29" s="9">
        <f>IF(H29="","",H29*12)</f>
        <v/>
      </c>
      <c r="J29" s="8">
        <f>IF(E29="","",E29-TODAY())</f>
        <v/>
      </c>
      <c r="K29" s="11">
        <f>IF(A29="","",IF(G29="Cancel","Cancelling",IF(AND(J29&lt;&gt;"",J29&lt;0),"Update renewal date",IF(OR(F29="Rarely",F29="Never"),"Low use - review",IF(AND(J29&lt;&gt;"",J29&lt;=14),"Renews soon","")))))</f>
        <v/>
      </c>
    </row>
    <row r="30">
      <c r="A30" s="13" t="n"/>
      <c r="B30" s="13" t="n"/>
      <c r="C30" s="14" t="n"/>
      <c r="D30" s="13" t="n"/>
      <c r="E30" s="15" t="n"/>
      <c r="F30" s="13" t="n"/>
      <c r="G30" s="13" t="n"/>
      <c r="H30" s="9">
        <f>IF(OR(C30="",D30=""),"",C30*VLOOKUP(D30,Lists!$A$4:$B$9,2,FALSE))</f>
        <v/>
      </c>
      <c r="I30" s="9">
        <f>IF(H30="","",H30*12)</f>
        <v/>
      </c>
      <c r="J30" s="8">
        <f>IF(E30="","",E30-TODAY())</f>
        <v/>
      </c>
      <c r="K30" s="11">
        <f>IF(A30="","",IF(G30="Cancel","Cancelling",IF(AND(J30&lt;&gt;"",J30&lt;0),"Update renewal date",IF(OR(F30="Rarely",F30="Never"),"Low use - review",IF(AND(J30&lt;&gt;"",J30&lt;=14),"Renews soon","")))))</f>
        <v/>
      </c>
    </row>
    <row r="31">
      <c r="A31" s="13" t="n"/>
      <c r="B31" s="13" t="n"/>
      <c r="C31" s="14" t="n"/>
      <c r="D31" s="13" t="n"/>
      <c r="E31" s="15" t="n"/>
      <c r="F31" s="13" t="n"/>
      <c r="G31" s="13" t="n"/>
      <c r="H31" s="9">
        <f>IF(OR(C31="",D31=""),"",C31*VLOOKUP(D31,Lists!$A$4:$B$9,2,FALSE))</f>
        <v/>
      </c>
      <c r="I31" s="9">
        <f>IF(H31="","",H31*12)</f>
        <v/>
      </c>
      <c r="J31" s="8">
        <f>IF(E31="","",E31-TODAY())</f>
        <v/>
      </c>
      <c r="K31" s="11">
        <f>IF(A31="","",IF(G31="Cancel","Cancelling",IF(AND(J31&lt;&gt;"",J31&lt;0),"Update renewal date",IF(OR(F31="Rarely",F31="Never"),"Low use - review",IF(AND(J31&lt;&gt;"",J31&lt;=14),"Renews soon","")))))</f>
        <v/>
      </c>
    </row>
    <row r="32">
      <c r="A32" s="13" t="n"/>
      <c r="B32" s="13" t="n"/>
      <c r="C32" s="14" t="n"/>
      <c r="D32" s="13" t="n"/>
      <c r="E32" s="15" t="n"/>
      <c r="F32" s="13" t="n"/>
      <c r="G32" s="13" t="n"/>
      <c r="H32" s="9">
        <f>IF(OR(C32="",D32=""),"",C32*VLOOKUP(D32,Lists!$A$4:$B$9,2,FALSE))</f>
        <v/>
      </c>
      <c r="I32" s="9">
        <f>IF(H32="","",H32*12)</f>
        <v/>
      </c>
      <c r="J32" s="8">
        <f>IF(E32="","",E32-TODAY())</f>
        <v/>
      </c>
      <c r="K32" s="11">
        <f>IF(A32="","",IF(G32="Cancel","Cancelling",IF(AND(J32&lt;&gt;"",J32&lt;0),"Update renewal date",IF(OR(F32="Rarely",F32="Never"),"Low use - review",IF(AND(J32&lt;&gt;"",J32&lt;=14),"Renews soon","")))))</f>
        <v/>
      </c>
    </row>
    <row r="33">
      <c r="A33" s="13" t="n"/>
      <c r="B33" s="13" t="n"/>
      <c r="C33" s="14" t="n"/>
      <c r="D33" s="13" t="n"/>
      <c r="E33" s="15" t="n"/>
      <c r="F33" s="13" t="n"/>
      <c r="G33" s="13" t="n"/>
      <c r="H33" s="9">
        <f>IF(OR(C33="",D33=""),"",C33*VLOOKUP(D33,Lists!$A$4:$B$9,2,FALSE))</f>
        <v/>
      </c>
      <c r="I33" s="9">
        <f>IF(H33="","",H33*12)</f>
        <v/>
      </c>
      <c r="J33" s="8">
        <f>IF(E33="","",E33-TODAY())</f>
        <v/>
      </c>
      <c r="K33" s="11">
        <f>IF(A33="","",IF(G33="Cancel","Cancelling",IF(AND(J33&lt;&gt;"",J33&lt;0),"Update renewal date",IF(OR(F33="Rarely",F33="Never"),"Low use - review",IF(AND(J33&lt;&gt;"",J33&lt;=14),"Renews soon","")))))</f>
        <v/>
      </c>
    </row>
    <row r="34">
      <c r="A34" s="13" t="n"/>
      <c r="B34" s="13" t="n"/>
      <c r="C34" s="14" t="n"/>
      <c r="D34" s="13" t="n"/>
      <c r="E34" s="15" t="n"/>
      <c r="F34" s="13" t="n"/>
      <c r="G34" s="13" t="n"/>
      <c r="H34" s="9">
        <f>IF(OR(C34="",D34=""),"",C34*VLOOKUP(D34,Lists!$A$4:$B$9,2,FALSE))</f>
        <v/>
      </c>
      <c r="I34" s="9">
        <f>IF(H34="","",H34*12)</f>
        <v/>
      </c>
      <c r="J34" s="8">
        <f>IF(E34="","",E34-TODAY())</f>
        <v/>
      </c>
      <c r="K34" s="11">
        <f>IF(A34="","",IF(G34="Cancel","Cancelling",IF(AND(J34&lt;&gt;"",J34&lt;0),"Update renewal date",IF(OR(F34="Rarely",F34="Never"),"Low use - review",IF(AND(J34&lt;&gt;"",J34&lt;=14),"Renews soon","")))))</f>
        <v/>
      </c>
    </row>
    <row r="35">
      <c r="A35" s="13" t="n"/>
      <c r="B35" s="13" t="n"/>
      <c r="C35" s="14" t="n"/>
      <c r="D35" s="13" t="n"/>
      <c r="E35" s="15" t="n"/>
      <c r="F35" s="13" t="n"/>
      <c r="G35" s="13" t="n"/>
      <c r="H35" s="9">
        <f>IF(OR(C35="",D35=""),"",C35*VLOOKUP(D35,Lists!$A$4:$B$9,2,FALSE))</f>
        <v/>
      </c>
      <c r="I35" s="9">
        <f>IF(H35="","",H35*12)</f>
        <v/>
      </c>
      <c r="J35" s="8">
        <f>IF(E35="","",E35-TODAY())</f>
        <v/>
      </c>
      <c r="K35" s="11">
        <f>IF(A35="","",IF(G35="Cancel","Cancelling",IF(AND(J35&lt;&gt;"",J35&lt;0),"Update renewal date",IF(OR(F35="Rarely",F35="Never"),"Low use - review",IF(AND(J35&lt;&gt;"",J35&lt;=14),"Renews soon","")))))</f>
        <v/>
      </c>
    </row>
    <row r="36">
      <c r="A36" s="13" t="n"/>
      <c r="B36" s="13" t="n"/>
      <c r="C36" s="14" t="n"/>
      <c r="D36" s="13" t="n"/>
      <c r="E36" s="15" t="n"/>
      <c r="F36" s="13" t="n"/>
      <c r="G36" s="13" t="n"/>
      <c r="H36" s="9">
        <f>IF(OR(C36="",D36=""),"",C36*VLOOKUP(D36,Lists!$A$4:$B$9,2,FALSE))</f>
        <v/>
      </c>
      <c r="I36" s="9">
        <f>IF(H36="","",H36*12)</f>
        <v/>
      </c>
      <c r="J36" s="8">
        <f>IF(E36="","",E36-TODAY())</f>
        <v/>
      </c>
      <c r="K36" s="11">
        <f>IF(A36="","",IF(G36="Cancel","Cancelling",IF(AND(J36&lt;&gt;"",J36&lt;0),"Update renewal date",IF(OR(F36="Rarely",F36="Never"),"Low use - review",IF(AND(J36&lt;&gt;"",J36&lt;=14),"Renews soon","")))))</f>
        <v/>
      </c>
    </row>
    <row r="37">
      <c r="A37" s="13" t="n"/>
      <c r="B37" s="13" t="n"/>
      <c r="C37" s="14" t="n"/>
      <c r="D37" s="13" t="n"/>
      <c r="E37" s="15" t="n"/>
      <c r="F37" s="13" t="n"/>
      <c r="G37" s="13" t="n"/>
      <c r="H37" s="9">
        <f>IF(OR(C37="",D37=""),"",C37*VLOOKUP(D37,Lists!$A$4:$B$9,2,FALSE))</f>
        <v/>
      </c>
      <c r="I37" s="9">
        <f>IF(H37="","",H37*12)</f>
        <v/>
      </c>
      <c r="J37" s="8">
        <f>IF(E37="","",E37-TODAY())</f>
        <v/>
      </c>
      <c r="K37" s="11">
        <f>IF(A37="","",IF(G37="Cancel","Cancelling",IF(AND(J37&lt;&gt;"",J37&lt;0),"Update renewal date",IF(OR(F37="Rarely",F37="Never"),"Low use - review",IF(AND(J37&lt;&gt;"",J37&lt;=14),"Renews soon","")))))</f>
        <v/>
      </c>
    </row>
    <row r="38">
      <c r="A38" s="13" t="n"/>
      <c r="B38" s="13" t="n"/>
      <c r="C38" s="14" t="n"/>
      <c r="D38" s="13" t="n"/>
      <c r="E38" s="15" t="n"/>
      <c r="F38" s="13" t="n"/>
      <c r="G38" s="13" t="n"/>
      <c r="H38" s="9">
        <f>IF(OR(C38="",D38=""),"",C38*VLOOKUP(D38,Lists!$A$4:$B$9,2,FALSE))</f>
        <v/>
      </c>
      <c r="I38" s="9">
        <f>IF(H38="","",H38*12)</f>
        <v/>
      </c>
      <c r="J38" s="8">
        <f>IF(E38="","",E38-TODAY())</f>
        <v/>
      </c>
      <c r="K38" s="11">
        <f>IF(A38="","",IF(G38="Cancel","Cancelling",IF(AND(J38&lt;&gt;"",J38&lt;0),"Update renewal date",IF(OR(F38="Rarely",F38="Never"),"Low use - review",IF(AND(J38&lt;&gt;"",J38&lt;=14),"Renews soon","")))))</f>
        <v/>
      </c>
    </row>
    <row r="39">
      <c r="A39" s="13" t="n"/>
      <c r="B39" s="13" t="n"/>
      <c r="C39" s="14" t="n"/>
      <c r="D39" s="13" t="n"/>
      <c r="E39" s="15" t="n"/>
      <c r="F39" s="13" t="n"/>
      <c r="G39" s="13" t="n"/>
      <c r="H39" s="9">
        <f>IF(OR(C39="",D39=""),"",C39*VLOOKUP(D39,Lists!$A$4:$B$9,2,FALSE))</f>
        <v/>
      </c>
      <c r="I39" s="9">
        <f>IF(H39="","",H39*12)</f>
        <v/>
      </c>
      <c r="J39" s="8">
        <f>IF(E39="","",E39-TODAY())</f>
        <v/>
      </c>
      <c r="K39" s="11">
        <f>IF(A39="","",IF(G39="Cancel","Cancelling",IF(AND(J39&lt;&gt;"",J39&lt;0),"Update renewal date",IF(OR(F39="Rarely",F39="Never"),"Low use - review",IF(AND(J39&lt;&gt;"",J39&lt;=14),"Renews soon","")))))</f>
        <v/>
      </c>
    </row>
    <row r="40">
      <c r="A40" s="13" t="n"/>
      <c r="B40" s="13" t="n"/>
      <c r="C40" s="14" t="n"/>
      <c r="D40" s="13" t="n"/>
      <c r="E40" s="15" t="n"/>
      <c r="F40" s="13" t="n"/>
      <c r="G40" s="13" t="n"/>
      <c r="H40" s="9">
        <f>IF(OR(C40="",D40=""),"",C40*VLOOKUP(D40,Lists!$A$4:$B$9,2,FALSE))</f>
        <v/>
      </c>
      <c r="I40" s="9">
        <f>IF(H40="","",H40*12)</f>
        <v/>
      </c>
      <c r="J40" s="8">
        <f>IF(E40="","",E40-TODAY())</f>
        <v/>
      </c>
      <c r="K40" s="11">
        <f>IF(A40="","",IF(G40="Cancel","Cancelling",IF(AND(J40&lt;&gt;"",J40&lt;0),"Update renewal date",IF(OR(F40="Rarely",F40="Never"),"Low use - review",IF(AND(J40&lt;&gt;"",J40&lt;=14),"Renews soon","")))))</f>
        <v/>
      </c>
    </row>
    <row r="41">
      <c r="A41" s="13" t="n"/>
      <c r="B41" s="13" t="n"/>
      <c r="C41" s="14" t="n"/>
      <c r="D41" s="13" t="n"/>
      <c r="E41" s="15" t="n"/>
      <c r="F41" s="13" t="n"/>
      <c r="G41" s="13" t="n"/>
      <c r="H41" s="9">
        <f>IF(OR(C41="",D41=""),"",C41*VLOOKUP(D41,Lists!$A$4:$B$9,2,FALSE))</f>
        <v/>
      </c>
      <c r="I41" s="9">
        <f>IF(H41="","",H41*12)</f>
        <v/>
      </c>
      <c r="J41" s="8">
        <f>IF(E41="","",E41-TODAY())</f>
        <v/>
      </c>
      <c r="K41" s="11">
        <f>IF(A41="","",IF(G41="Cancel","Cancelling",IF(AND(J41&lt;&gt;"",J41&lt;0),"Update renewal date",IF(OR(F41="Rarely",F41="Never"),"Low use - review",IF(AND(J41&lt;&gt;"",J41&lt;=14),"Renews soon","")))))</f>
        <v/>
      </c>
    </row>
    <row r="42">
      <c r="A42" s="13" t="n"/>
      <c r="B42" s="13" t="n"/>
      <c r="C42" s="14" t="n"/>
      <c r="D42" s="13" t="n"/>
      <c r="E42" s="15" t="n"/>
      <c r="F42" s="13" t="n"/>
      <c r="G42" s="13" t="n"/>
      <c r="H42" s="9">
        <f>IF(OR(C42="",D42=""),"",C42*VLOOKUP(D42,Lists!$A$4:$B$9,2,FALSE))</f>
        <v/>
      </c>
      <c r="I42" s="9">
        <f>IF(H42="","",H42*12)</f>
        <v/>
      </c>
      <c r="J42" s="8">
        <f>IF(E42="","",E42-TODAY())</f>
        <v/>
      </c>
      <c r="K42" s="11">
        <f>IF(A42="","",IF(G42="Cancel","Cancelling",IF(AND(J42&lt;&gt;"",J42&lt;0),"Update renewal date",IF(OR(F42="Rarely",F42="Never"),"Low use - review",IF(AND(J42&lt;&gt;"",J42&lt;=14),"Renews soon","")))))</f>
        <v/>
      </c>
    </row>
    <row r="43">
      <c r="A43" s="13" t="n"/>
      <c r="B43" s="13" t="n"/>
      <c r="C43" s="14" t="n"/>
      <c r="D43" s="13" t="n"/>
      <c r="E43" s="15" t="n"/>
      <c r="F43" s="13" t="n"/>
      <c r="G43" s="13" t="n"/>
      <c r="H43" s="9">
        <f>IF(OR(C43="",D43=""),"",C43*VLOOKUP(D43,Lists!$A$4:$B$9,2,FALSE))</f>
        <v/>
      </c>
      <c r="I43" s="9">
        <f>IF(H43="","",H43*12)</f>
        <v/>
      </c>
      <c r="J43" s="8">
        <f>IF(E43="","",E43-TODAY())</f>
        <v/>
      </c>
      <c r="K43" s="11">
        <f>IF(A43="","",IF(G43="Cancel","Cancelling",IF(AND(J43&lt;&gt;"",J43&lt;0),"Update renewal date",IF(OR(F43="Rarely",F43="Never"),"Low use - review",IF(AND(J43&lt;&gt;"",J43&lt;=14),"Renews soon","")))))</f>
        <v/>
      </c>
    </row>
    <row r="44">
      <c r="A44" s="13" t="n"/>
      <c r="B44" s="13" t="n"/>
      <c r="C44" s="14" t="n"/>
      <c r="D44" s="13" t="n"/>
      <c r="E44" s="15" t="n"/>
      <c r="F44" s="13" t="n"/>
      <c r="G44" s="13" t="n"/>
      <c r="H44" s="9">
        <f>IF(OR(C44="",D44=""),"",C44*VLOOKUP(D44,Lists!$A$4:$B$9,2,FALSE))</f>
        <v/>
      </c>
      <c r="I44" s="9">
        <f>IF(H44="","",H44*12)</f>
        <v/>
      </c>
      <c r="J44" s="8">
        <f>IF(E44="","",E44-TODAY())</f>
        <v/>
      </c>
      <c r="K44" s="11">
        <f>IF(A44="","",IF(G44="Cancel","Cancelling",IF(AND(J44&lt;&gt;"",J44&lt;0),"Update renewal date",IF(OR(F44="Rarely",F44="Never"),"Low use - review",IF(AND(J44&lt;&gt;"",J44&lt;=14),"Renews soon","")))))</f>
        <v/>
      </c>
    </row>
    <row r="45">
      <c r="A45" s="13" t="n"/>
      <c r="B45" s="13" t="n"/>
      <c r="C45" s="14" t="n"/>
      <c r="D45" s="13" t="n"/>
      <c r="E45" s="15" t="n"/>
      <c r="F45" s="13" t="n"/>
      <c r="G45" s="13" t="n"/>
      <c r="H45" s="9">
        <f>IF(OR(C45="",D45=""),"",C45*VLOOKUP(D45,Lists!$A$4:$B$9,2,FALSE))</f>
        <v/>
      </c>
      <c r="I45" s="9">
        <f>IF(H45="","",H45*12)</f>
        <v/>
      </c>
      <c r="J45" s="8">
        <f>IF(E45="","",E45-TODAY())</f>
        <v/>
      </c>
      <c r="K45" s="11">
        <f>IF(A45="","",IF(G45="Cancel","Cancelling",IF(AND(J45&lt;&gt;"",J45&lt;0),"Update renewal date",IF(OR(F45="Rarely",F45="Never"),"Low use - review",IF(AND(J45&lt;&gt;"",J45&lt;=14),"Renews soon","")))))</f>
        <v/>
      </c>
    </row>
    <row r="46">
      <c r="A46" s="13" t="n"/>
      <c r="B46" s="13" t="n"/>
      <c r="C46" s="14" t="n"/>
      <c r="D46" s="13" t="n"/>
      <c r="E46" s="15" t="n"/>
      <c r="F46" s="13" t="n"/>
      <c r="G46" s="13" t="n"/>
      <c r="H46" s="9">
        <f>IF(OR(C46="",D46=""),"",C46*VLOOKUP(D46,Lists!$A$4:$B$9,2,FALSE))</f>
        <v/>
      </c>
      <c r="I46" s="9">
        <f>IF(H46="","",H46*12)</f>
        <v/>
      </c>
      <c r="J46" s="8">
        <f>IF(E46="","",E46-TODAY())</f>
        <v/>
      </c>
      <c r="K46" s="11">
        <f>IF(A46="","",IF(G46="Cancel","Cancelling",IF(AND(J46&lt;&gt;"",J46&lt;0),"Update renewal date",IF(OR(F46="Rarely",F46="Never"),"Low use - review",IF(AND(J46&lt;&gt;"",J46&lt;=14),"Renews soon","")))))</f>
        <v/>
      </c>
    </row>
    <row r="47">
      <c r="A47" s="13" t="n"/>
      <c r="B47" s="13" t="n"/>
      <c r="C47" s="14" t="n"/>
      <c r="D47" s="13" t="n"/>
      <c r="E47" s="15" t="n"/>
      <c r="F47" s="13" t="n"/>
      <c r="G47" s="13" t="n"/>
      <c r="H47" s="9">
        <f>IF(OR(C47="",D47=""),"",C47*VLOOKUP(D47,Lists!$A$4:$B$9,2,FALSE))</f>
        <v/>
      </c>
      <c r="I47" s="9">
        <f>IF(H47="","",H47*12)</f>
        <v/>
      </c>
      <c r="J47" s="8">
        <f>IF(E47="","",E47-TODAY())</f>
        <v/>
      </c>
      <c r="K47" s="11">
        <f>IF(A47="","",IF(G47="Cancel","Cancelling",IF(AND(J47&lt;&gt;"",J47&lt;0),"Update renewal date",IF(OR(F47="Rarely",F47="Never"),"Low use - review",IF(AND(J47&lt;&gt;"",J47&lt;=14),"Renews soon","")))))</f>
        <v/>
      </c>
    </row>
    <row r="48">
      <c r="A48" s="13" t="n"/>
      <c r="B48" s="13" t="n"/>
      <c r="C48" s="14" t="n"/>
      <c r="D48" s="13" t="n"/>
      <c r="E48" s="15" t="n"/>
      <c r="F48" s="13" t="n"/>
      <c r="G48" s="13" t="n"/>
      <c r="H48" s="9">
        <f>IF(OR(C48="",D48=""),"",C48*VLOOKUP(D48,Lists!$A$4:$B$9,2,FALSE))</f>
        <v/>
      </c>
      <c r="I48" s="9">
        <f>IF(H48="","",H48*12)</f>
        <v/>
      </c>
      <c r="J48" s="8">
        <f>IF(E48="","",E48-TODAY())</f>
        <v/>
      </c>
      <c r="K48" s="11">
        <f>IF(A48="","",IF(G48="Cancel","Cancelling",IF(AND(J48&lt;&gt;"",J48&lt;0),"Update renewal date",IF(OR(F48="Rarely",F48="Never"),"Low use - review",IF(AND(J48&lt;&gt;"",J48&lt;=14),"Renews soon","")))))</f>
        <v/>
      </c>
    </row>
    <row r="49">
      <c r="A49" s="13" t="n"/>
      <c r="B49" s="13" t="n"/>
      <c r="C49" s="14" t="n"/>
      <c r="D49" s="13" t="n"/>
      <c r="E49" s="15" t="n"/>
      <c r="F49" s="13" t="n"/>
      <c r="G49" s="13" t="n"/>
      <c r="H49" s="9">
        <f>IF(OR(C49="",D49=""),"",C49*VLOOKUP(D49,Lists!$A$4:$B$9,2,FALSE))</f>
        <v/>
      </c>
      <c r="I49" s="9">
        <f>IF(H49="","",H49*12)</f>
        <v/>
      </c>
      <c r="J49" s="8">
        <f>IF(E49="","",E49-TODAY())</f>
        <v/>
      </c>
      <c r="K49" s="11">
        <f>IF(A49="","",IF(G49="Cancel","Cancelling",IF(AND(J49&lt;&gt;"",J49&lt;0),"Update renewal date",IF(OR(F49="Rarely",F49="Never"),"Low use - review",IF(AND(J49&lt;&gt;"",J49&lt;=14),"Renews soon","")))))</f>
        <v/>
      </c>
    </row>
    <row r="50">
      <c r="A50" s="13" t="n"/>
      <c r="B50" s="13" t="n"/>
      <c r="C50" s="14" t="n"/>
      <c r="D50" s="13" t="n"/>
      <c r="E50" s="15" t="n"/>
      <c r="F50" s="13" t="n"/>
      <c r="G50" s="13" t="n"/>
      <c r="H50" s="9">
        <f>IF(OR(C50="",D50=""),"",C50*VLOOKUP(D50,Lists!$A$4:$B$9,2,FALSE))</f>
        <v/>
      </c>
      <c r="I50" s="9">
        <f>IF(H50="","",H50*12)</f>
        <v/>
      </c>
      <c r="J50" s="8">
        <f>IF(E50="","",E50-TODAY())</f>
        <v/>
      </c>
      <c r="K50" s="11">
        <f>IF(A50="","",IF(G50="Cancel","Cancelling",IF(AND(J50&lt;&gt;"",J50&lt;0),"Update renewal date",IF(OR(F50="Rarely",F50="Never"),"Low use - review",IF(AND(J50&lt;&gt;"",J50&lt;=14),"Renews soon","")))))</f>
        <v/>
      </c>
    </row>
    <row r="51">
      <c r="A51" s="13" t="n"/>
      <c r="B51" s="13" t="n"/>
      <c r="C51" s="14" t="n"/>
      <c r="D51" s="13" t="n"/>
      <c r="E51" s="15" t="n"/>
      <c r="F51" s="13" t="n"/>
      <c r="G51" s="13" t="n"/>
      <c r="H51" s="9">
        <f>IF(OR(C51="",D51=""),"",C51*VLOOKUP(D51,Lists!$A$4:$B$9,2,FALSE))</f>
        <v/>
      </c>
      <c r="I51" s="9">
        <f>IF(H51="","",H51*12)</f>
        <v/>
      </c>
      <c r="J51" s="8">
        <f>IF(E51="","",E51-TODAY())</f>
        <v/>
      </c>
      <c r="K51" s="11">
        <f>IF(A51="","",IF(G51="Cancel","Cancelling",IF(AND(J51&lt;&gt;"",J51&lt;0),"Update renewal date",IF(OR(F51="Rarely",F51="Never"),"Low use - review",IF(AND(J51&lt;&gt;"",J51&lt;=14),"Renews soon","")))))</f>
        <v/>
      </c>
    </row>
    <row r="52">
      <c r="A52" s="13" t="n"/>
      <c r="B52" s="13" t="n"/>
      <c r="C52" s="14" t="n"/>
      <c r="D52" s="13" t="n"/>
      <c r="E52" s="15" t="n"/>
      <c r="F52" s="13" t="n"/>
      <c r="G52" s="13" t="n"/>
      <c r="H52" s="9">
        <f>IF(OR(C52="",D52=""),"",C52*VLOOKUP(D52,Lists!$A$4:$B$9,2,FALSE))</f>
        <v/>
      </c>
      <c r="I52" s="9">
        <f>IF(H52="","",H52*12)</f>
        <v/>
      </c>
      <c r="J52" s="8">
        <f>IF(E52="","",E52-TODAY())</f>
        <v/>
      </c>
      <c r="K52" s="11">
        <f>IF(A52="","",IF(G52="Cancel","Cancelling",IF(AND(J52&lt;&gt;"",J52&lt;0),"Update renewal date",IF(OR(F52="Rarely",F52="Never"),"Low use - review",IF(AND(J52&lt;&gt;"",J52&lt;=14),"Renews soon","")))))</f>
        <v/>
      </c>
    </row>
    <row r="53">
      <c r="A53" s="13" t="n"/>
      <c r="B53" s="13" t="n"/>
      <c r="C53" s="14" t="n"/>
      <c r="D53" s="13" t="n"/>
      <c r="E53" s="15" t="n"/>
      <c r="F53" s="13" t="n"/>
      <c r="G53" s="13" t="n"/>
      <c r="H53" s="9">
        <f>IF(OR(C53="",D53=""),"",C53*VLOOKUP(D53,Lists!$A$4:$B$9,2,FALSE))</f>
        <v/>
      </c>
      <c r="I53" s="9">
        <f>IF(H53="","",H53*12)</f>
        <v/>
      </c>
      <c r="J53" s="8">
        <f>IF(E53="","",E53-TODAY())</f>
        <v/>
      </c>
      <c r="K53" s="11">
        <f>IF(A53="","",IF(G53="Cancel","Cancelling",IF(AND(J53&lt;&gt;"",J53&lt;0),"Update renewal date",IF(OR(F53="Rarely",F53="Never"),"Low use - review",IF(AND(J53&lt;&gt;"",J53&lt;=14),"Renews soon","")))))</f>
        <v/>
      </c>
    </row>
    <row r="54">
      <c r="A54" s="13" t="n"/>
      <c r="B54" s="13" t="n"/>
      <c r="C54" s="14" t="n"/>
      <c r="D54" s="13" t="n"/>
      <c r="E54" s="15" t="n"/>
      <c r="F54" s="13" t="n"/>
      <c r="G54" s="13" t="n"/>
      <c r="H54" s="9">
        <f>IF(OR(C54="",D54=""),"",C54*VLOOKUP(D54,Lists!$A$4:$B$9,2,FALSE))</f>
        <v/>
      </c>
      <c r="I54" s="9">
        <f>IF(H54="","",H54*12)</f>
        <v/>
      </c>
      <c r="J54" s="8">
        <f>IF(E54="","",E54-TODAY())</f>
        <v/>
      </c>
      <c r="K54" s="11">
        <f>IF(A54="","",IF(G54="Cancel","Cancelling",IF(AND(J54&lt;&gt;"",J54&lt;0),"Update renewal date",IF(OR(F54="Rarely",F54="Never"),"Low use - review",IF(AND(J54&lt;&gt;"",J54&lt;=14),"Renews soon","")))))</f>
        <v/>
      </c>
    </row>
    <row r="55">
      <c r="A55" s="13" t="n"/>
      <c r="B55" s="13" t="n"/>
      <c r="C55" s="14" t="n"/>
      <c r="D55" s="13" t="n"/>
      <c r="E55" s="15" t="n"/>
      <c r="F55" s="13" t="n"/>
      <c r="G55" s="13" t="n"/>
      <c r="H55" s="9">
        <f>IF(OR(C55="",D55=""),"",C55*VLOOKUP(D55,Lists!$A$4:$B$9,2,FALSE))</f>
        <v/>
      </c>
      <c r="I55" s="9">
        <f>IF(H55="","",H55*12)</f>
        <v/>
      </c>
      <c r="J55" s="8">
        <f>IF(E55="","",E55-TODAY())</f>
        <v/>
      </c>
      <c r="K55" s="11">
        <f>IF(A55="","",IF(G55="Cancel","Cancelling",IF(AND(J55&lt;&gt;"",J55&lt;0),"Update renewal date",IF(OR(F55="Rarely",F55="Never"),"Low use - review",IF(AND(J55&lt;&gt;"",J55&lt;=14),"Renews soon","")))))</f>
        <v/>
      </c>
    </row>
    <row r="56">
      <c r="A56" s="13" t="n"/>
      <c r="B56" s="13" t="n"/>
      <c r="C56" s="14" t="n"/>
      <c r="D56" s="13" t="n"/>
      <c r="E56" s="15" t="n"/>
      <c r="F56" s="13" t="n"/>
      <c r="G56" s="13" t="n"/>
      <c r="H56" s="9">
        <f>IF(OR(C56="",D56=""),"",C56*VLOOKUP(D56,Lists!$A$4:$B$9,2,FALSE))</f>
        <v/>
      </c>
      <c r="I56" s="9">
        <f>IF(H56="","",H56*12)</f>
        <v/>
      </c>
      <c r="J56" s="8">
        <f>IF(E56="","",E56-TODAY())</f>
        <v/>
      </c>
      <c r="K56" s="11">
        <f>IF(A56="","",IF(G56="Cancel","Cancelling",IF(AND(J56&lt;&gt;"",J56&lt;0),"Update renewal date",IF(OR(F56="Rarely",F56="Never"),"Low use - review",IF(AND(J56&lt;&gt;"",J56&lt;=14),"Renews soon","")))))</f>
        <v/>
      </c>
    </row>
    <row r="57">
      <c r="A57" s="13" t="n"/>
      <c r="B57" s="13" t="n"/>
      <c r="C57" s="14" t="n"/>
      <c r="D57" s="13" t="n"/>
      <c r="E57" s="15" t="n"/>
      <c r="F57" s="13" t="n"/>
      <c r="G57" s="13" t="n"/>
      <c r="H57" s="9">
        <f>IF(OR(C57="",D57=""),"",C57*VLOOKUP(D57,Lists!$A$4:$B$9,2,FALSE))</f>
        <v/>
      </c>
      <c r="I57" s="9">
        <f>IF(H57="","",H57*12)</f>
        <v/>
      </c>
      <c r="J57" s="8">
        <f>IF(E57="","",E57-TODAY())</f>
        <v/>
      </c>
      <c r="K57" s="11">
        <f>IF(A57="","",IF(G57="Cancel","Cancelling",IF(AND(J57&lt;&gt;"",J57&lt;0),"Update renewal date",IF(OR(F57="Rarely",F57="Never"),"Low use - review",IF(AND(J57&lt;&gt;"",J57&lt;=14),"Renews soon","")))))</f>
        <v/>
      </c>
    </row>
    <row r="58">
      <c r="A58" s="13" t="n"/>
      <c r="B58" s="13" t="n"/>
      <c r="C58" s="14" t="n"/>
      <c r="D58" s="13" t="n"/>
      <c r="E58" s="15" t="n"/>
      <c r="F58" s="13" t="n"/>
      <c r="G58" s="13" t="n"/>
      <c r="H58" s="9">
        <f>IF(OR(C58="",D58=""),"",C58*VLOOKUP(D58,Lists!$A$4:$B$9,2,FALSE))</f>
        <v/>
      </c>
      <c r="I58" s="9">
        <f>IF(H58="","",H58*12)</f>
        <v/>
      </c>
      <c r="J58" s="8">
        <f>IF(E58="","",E58-TODAY())</f>
        <v/>
      </c>
      <c r="K58" s="11">
        <f>IF(A58="","",IF(G58="Cancel","Cancelling",IF(AND(J58&lt;&gt;"",J58&lt;0),"Update renewal date",IF(OR(F58="Rarely",F58="Never"),"Low use - review",IF(AND(J58&lt;&gt;"",J58&lt;=14),"Renews soon","")))))</f>
        <v/>
      </c>
    </row>
    <row r="59">
      <c r="A59" s="13" t="n"/>
      <c r="B59" s="13" t="n"/>
      <c r="C59" s="14" t="n"/>
      <c r="D59" s="13" t="n"/>
      <c r="E59" s="15" t="n"/>
      <c r="F59" s="13" t="n"/>
      <c r="G59" s="13" t="n"/>
      <c r="H59" s="9">
        <f>IF(OR(C59="",D59=""),"",C59*VLOOKUP(D59,Lists!$A$4:$B$9,2,FALSE))</f>
        <v/>
      </c>
      <c r="I59" s="9">
        <f>IF(H59="","",H59*12)</f>
        <v/>
      </c>
      <c r="J59" s="8">
        <f>IF(E59="","",E59-TODAY())</f>
        <v/>
      </c>
      <c r="K59" s="11">
        <f>IF(A59="","",IF(G59="Cancel","Cancelling",IF(AND(J59&lt;&gt;"",J59&lt;0),"Update renewal date",IF(OR(F59="Rarely",F59="Never"),"Low use - review",IF(AND(J59&lt;&gt;"",J59&lt;=14),"Renews soon","")))))</f>
        <v/>
      </c>
    </row>
    <row r="60">
      <c r="A60" s="13" t="n"/>
      <c r="B60" s="13" t="n"/>
      <c r="C60" s="14" t="n"/>
      <c r="D60" s="13" t="n"/>
      <c r="E60" s="15" t="n"/>
      <c r="F60" s="13" t="n"/>
      <c r="G60" s="13" t="n"/>
      <c r="H60" s="9">
        <f>IF(OR(C60="",D60=""),"",C60*VLOOKUP(D60,Lists!$A$4:$B$9,2,FALSE))</f>
        <v/>
      </c>
      <c r="I60" s="9">
        <f>IF(H60="","",H60*12)</f>
        <v/>
      </c>
      <c r="J60" s="8">
        <f>IF(E60="","",E60-TODAY())</f>
        <v/>
      </c>
      <c r="K60" s="11">
        <f>IF(A60="","",IF(G60="Cancel","Cancelling",IF(AND(J60&lt;&gt;"",J60&lt;0),"Update renewal date",IF(OR(F60="Rarely",F60="Never"),"Low use - review",IF(AND(J60&lt;&gt;"",J60&lt;=14),"Renews soon","")))))</f>
        <v/>
      </c>
    </row>
    <row r="61">
      <c r="A61" s="13" t="n"/>
      <c r="B61" s="13" t="n"/>
      <c r="C61" s="14" t="n"/>
      <c r="D61" s="13" t="n"/>
      <c r="E61" s="15" t="n"/>
      <c r="F61" s="13" t="n"/>
      <c r="G61" s="13" t="n"/>
      <c r="H61" s="9">
        <f>IF(OR(C61="",D61=""),"",C61*VLOOKUP(D61,Lists!$A$4:$B$9,2,FALSE))</f>
        <v/>
      </c>
      <c r="I61" s="9">
        <f>IF(H61="","",H61*12)</f>
        <v/>
      </c>
      <c r="J61" s="8">
        <f>IF(E61="","",E61-TODAY())</f>
        <v/>
      </c>
      <c r="K61" s="11">
        <f>IF(A61="","",IF(G61="Cancel","Cancelling",IF(AND(J61&lt;&gt;"",J61&lt;0),"Update renewal date",IF(OR(F61="Rarely",F61="Never"),"Low use - review",IF(AND(J61&lt;&gt;"",J61&lt;=14),"Renews soon","")))))</f>
        <v/>
      </c>
    </row>
    <row r="62">
      <c r="A62" s="13" t="n"/>
      <c r="B62" s="13" t="n"/>
      <c r="C62" s="14" t="n"/>
      <c r="D62" s="13" t="n"/>
      <c r="E62" s="15" t="n"/>
      <c r="F62" s="13" t="n"/>
      <c r="G62" s="13" t="n"/>
      <c r="H62" s="9">
        <f>IF(OR(C62="",D62=""),"",C62*VLOOKUP(D62,Lists!$A$4:$B$9,2,FALSE))</f>
        <v/>
      </c>
      <c r="I62" s="9">
        <f>IF(H62="","",H62*12)</f>
        <v/>
      </c>
      <c r="J62" s="8">
        <f>IF(E62="","",E62-TODAY())</f>
        <v/>
      </c>
      <c r="K62" s="11">
        <f>IF(A62="","",IF(G62="Cancel","Cancelling",IF(AND(J62&lt;&gt;"",J62&lt;0),"Update renewal date",IF(OR(F62="Rarely",F62="Never"),"Low use - review",IF(AND(J62&lt;&gt;"",J62&lt;=14),"Renews soon","")))))</f>
        <v/>
      </c>
    </row>
    <row r="63">
      <c r="A63" s="13" t="n"/>
      <c r="B63" s="13" t="n"/>
      <c r="C63" s="14" t="n"/>
      <c r="D63" s="13" t="n"/>
      <c r="E63" s="15" t="n"/>
      <c r="F63" s="13" t="n"/>
      <c r="G63" s="13" t="n"/>
      <c r="H63" s="9">
        <f>IF(OR(C63="",D63=""),"",C63*VLOOKUP(D63,Lists!$A$4:$B$9,2,FALSE))</f>
        <v/>
      </c>
      <c r="I63" s="9">
        <f>IF(H63="","",H63*12)</f>
        <v/>
      </c>
      <c r="J63" s="8">
        <f>IF(E63="","",E63-TODAY())</f>
        <v/>
      </c>
      <c r="K63" s="11">
        <f>IF(A63="","",IF(G63="Cancel","Cancelling",IF(AND(J63&lt;&gt;"",J63&lt;0),"Update renewal date",IF(OR(F63="Rarely",F63="Never"),"Low use - review",IF(AND(J63&lt;&gt;"",J63&lt;=14),"Renews soon","")))))</f>
        <v/>
      </c>
    </row>
    <row r="64">
      <c r="A64" s="13" t="n"/>
      <c r="B64" s="13" t="n"/>
      <c r="C64" s="14" t="n"/>
      <c r="D64" s="13" t="n"/>
      <c r="E64" s="15" t="n"/>
      <c r="F64" s="13" t="n"/>
      <c r="G64" s="13" t="n"/>
      <c r="H64" s="9">
        <f>IF(OR(C64="",D64=""),"",C64*VLOOKUP(D64,Lists!$A$4:$B$9,2,FALSE))</f>
        <v/>
      </c>
      <c r="I64" s="9">
        <f>IF(H64="","",H64*12)</f>
        <v/>
      </c>
      <c r="J64" s="8">
        <f>IF(E64="","",E64-TODAY())</f>
        <v/>
      </c>
      <c r="K64" s="11">
        <f>IF(A64="","",IF(G64="Cancel","Cancelling",IF(AND(J64&lt;&gt;"",J64&lt;0),"Update renewal date",IF(OR(F64="Rarely",F64="Never"),"Low use - review",IF(AND(J64&lt;&gt;"",J64&lt;=14),"Renews soon","")))))</f>
        <v/>
      </c>
    </row>
    <row r="65">
      <c r="A65" s="13" t="n"/>
      <c r="B65" s="13" t="n"/>
      <c r="C65" s="14" t="n"/>
      <c r="D65" s="13" t="n"/>
      <c r="E65" s="15" t="n"/>
      <c r="F65" s="13" t="n"/>
      <c r="G65" s="13" t="n"/>
      <c r="H65" s="9">
        <f>IF(OR(C65="",D65=""),"",C65*VLOOKUP(D65,Lists!$A$4:$B$9,2,FALSE))</f>
        <v/>
      </c>
      <c r="I65" s="9">
        <f>IF(H65="","",H65*12)</f>
        <v/>
      </c>
      <c r="J65" s="8">
        <f>IF(E65="","",E65-TODAY())</f>
        <v/>
      </c>
      <c r="K65" s="11">
        <f>IF(A65="","",IF(G65="Cancel","Cancelling",IF(AND(J65&lt;&gt;"",J65&lt;0),"Update renewal date",IF(OR(F65="Rarely",F65="Never"),"Low use - review",IF(AND(J65&lt;&gt;"",J65&lt;=14),"Renews soon","")))))</f>
        <v/>
      </c>
    </row>
    <row r="66">
      <c r="A66" s="13" t="n"/>
      <c r="B66" s="13" t="n"/>
      <c r="C66" s="14" t="n"/>
      <c r="D66" s="13" t="n"/>
      <c r="E66" s="15" t="n"/>
      <c r="F66" s="13" t="n"/>
      <c r="G66" s="13" t="n"/>
      <c r="H66" s="9">
        <f>IF(OR(C66="",D66=""),"",C66*VLOOKUP(D66,Lists!$A$4:$B$9,2,FALSE))</f>
        <v/>
      </c>
      <c r="I66" s="9">
        <f>IF(H66="","",H66*12)</f>
        <v/>
      </c>
      <c r="J66" s="8">
        <f>IF(E66="","",E66-TODAY())</f>
        <v/>
      </c>
      <c r="K66" s="11">
        <f>IF(A66="","",IF(G66="Cancel","Cancelling",IF(AND(J66&lt;&gt;"",J66&lt;0),"Update renewal date",IF(OR(F66="Rarely",F66="Never"),"Low use - review",IF(AND(J66&lt;&gt;"",J66&lt;=14),"Renews soon","")))))</f>
        <v/>
      </c>
    </row>
    <row r="67">
      <c r="A67" s="13" t="n"/>
      <c r="B67" s="13" t="n"/>
      <c r="C67" s="14" t="n"/>
      <c r="D67" s="13" t="n"/>
      <c r="E67" s="15" t="n"/>
      <c r="F67" s="13" t="n"/>
      <c r="G67" s="13" t="n"/>
      <c r="H67" s="9">
        <f>IF(OR(C67="",D67=""),"",C67*VLOOKUP(D67,Lists!$A$4:$B$9,2,FALSE))</f>
        <v/>
      </c>
      <c r="I67" s="9">
        <f>IF(H67="","",H67*12)</f>
        <v/>
      </c>
      <c r="J67" s="8">
        <f>IF(E67="","",E67-TODAY())</f>
        <v/>
      </c>
      <c r="K67" s="11">
        <f>IF(A67="","",IF(G67="Cancel","Cancelling",IF(AND(J67&lt;&gt;"",J67&lt;0),"Update renewal date",IF(OR(F67="Rarely",F67="Never"),"Low use - review",IF(AND(J67&lt;&gt;"",J67&lt;=14),"Renews soon","")))))</f>
        <v/>
      </c>
    </row>
    <row r="68">
      <c r="A68" s="13" t="n"/>
      <c r="B68" s="13" t="n"/>
      <c r="C68" s="14" t="n"/>
      <c r="D68" s="13" t="n"/>
      <c r="E68" s="15" t="n"/>
      <c r="F68" s="13" t="n"/>
      <c r="G68" s="13" t="n"/>
      <c r="H68" s="9">
        <f>IF(OR(C68="",D68=""),"",C68*VLOOKUP(D68,Lists!$A$4:$B$9,2,FALSE))</f>
        <v/>
      </c>
      <c r="I68" s="9">
        <f>IF(H68="","",H68*12)</f>
        <v/>
      </c>
      <c r="J68" s="8">
        <f>IF(E68="","",E68-TODAY())</f>
        <v/>
      </c>
      <c r="K68" s="11">
        <f>IF(A68="","",IF(G68="Cancel","Cancelling",IF(AND(J68&lt;&gt;"",J68&lt;0),"Update renewal date",IF(OR(F68="Rarely",F68="Never"),"Low use - review",IF(AND(J68&lt;&gt;"",J68&lt;=14),"Renews soon","")))))</f>
        <v/>
      </c>
    </row>
    <row r="69">
      <c r="A69" s="13" t="n"/>
      <c r="B69" s="13" t="n"/>
      <c r="C69" s="14" t="n"/>
      <c r="D69" s="13" t="n"/>
      <c r="E69" s="15" t="n"/>
      <c r="F69" s="13" t="n"/>
      <c r="G69" s="13" t="n"/>
      <c r="H69" s="9">
        <f>IF(OR(C69="",D69=""),"",C69*VLOOKUP(D69,Lists!$A$4:$B$9,2,FALSE))</f>
        <v/>
      </c>
      <c r="I69" s="9">
        <f>IF(H69="","",H69*12)</f>
        <v/>
      </c>
      <c r="J69" s="8">
        <f>IF(E69="","",E69-TODAY())</f>
        <v/>
      </c>
      <c r="K69" s="11">
        <f>IF(A69="","",IF(G69="Cancel","Cancelling",IF(AND(J69&lt;&gt;"",J69&lt;0),"Update renewal date",IF(OR(F69="Rarely",F69="Never"),"Low use - review",IF(AND(J69&lt;&gt;"",J69&lt;=14),"Renews soon","")))))</f>
        <v/>
      </c>
    </row>
    <row r="70">
      <c r="A70" s="13" t="n"/>
      <c r="B70" s="13" t="n"/>
      <c r="C70" s="14" t="n"/>
      <c r="D70" s="13" t="n"/>
      <c r="E70" s="15" t="n"/>
      <c r="F70" s="13" t="n"/>
      <c r="G70" s="13" t="n"/>
      <c r="H70" s="9">
        <f>IF(OR(C70="",D70=""),"",C70*VLOOKUP(D70,Lists!$A$4:$B$9,2,FALSE))</f>
        <v/>
      </c>
      <c r="I70" s="9">
        <f>IF(H70="","",H70*12)</f>
        <v/>
      </c>
      <c r="J70" s="8">
        <f>IF(E70="","",E70-TODAY())</f>
        <v/>
      </c>
      <c r="K70" s="11">
        <f>IF(A70="","",IF(G70="Cancel","Cancelling",IF(AND(J70&lt;&gt;"",J70&lt;0),"Update renewal date",IF(OR(F70="Rarely",F70="Never"),"Low use - review",IF(AND(J70&lt;&gt;"",J70&lt;=14),"Renews soon","")))))</f>
        <v/>
      </c>
    </row>
    <row r="71">
      <c r="A71" s="13" t="n"/>
      <c r="B71" s="13" t="n"/>
      <c r="C71" s="14" t="n"/>
      <c r="D71" s="13" t="n"/>
      <c r="E71" s="15" t="n"/>
      <c r="F71" s="13" t="n"/>
      <c r="G71" s="13" t="n"/>
      <c r="H71" s="9">
        <f>IF(OR(C71="",D71=""),"",C71*VLOOKUP(D71,Lists!$A$4:$B$9,2,FALSE))</f>
        <v/>
      </c>
      <c r="I71" s="9">
        <f>IF(H71="","",H71*12)</f>
        <v/>
      </c>
      <c r="J71" s="8">
        <f>IF(E71="","",E71-TODAY())</f>
        <v/>
      </c>
      <c r="K71" s="11">
        <f>IF(A71="","",IF(G71="Cancel","Cancelling",IF(AND(J71&lt;&gt;"",J71&lt;0),"Update renewal date",IF(OR(F71="Rarely",F71="Never"),"Low use - review",IF(AND(J71&lt;&gt;"",J71&lt;=14),"Renews soon","")))))</f>
        <v/>
      </c>
    </row>
    <row r="72">
      <c r="A72" s="13" t="n"/>
      <c r="B72" s="13" t="n"/>
      <c r="C72" s="14" t="n"/>
      <c r="D72" s="13" t="n"/>
      <c r="E72" s="15" t="n"/>
      <c r="F72" s="13" t="n"/>
      <c r="G72" s="13" t="n"/>
      <c r="H72" s="9">
        <f>IF(OR(C72="",D72=""),"",C72*VLOOKUP(D72,Lists!$A$4:$B$9,2,FALSE))</f>
        <v/>
      </c>
      <c r="I72" s="9">
        <f>IF(H72="","",H72*12)</f>
        <v/>
      </c>
      <c r="J72" s="8">
        <f>IF(E72="","",E72-TODAY())</f>
        <v/>
      </c>
      <c r="K72" s="11">
        <f>IF(A72="","",IF(G72="Cancel","Cancelling",IF(AND(J72&lt;&gt;"",J72&lt;0),"Update renewal date",IF(OR(F72="Rarely",F72="Never"),"Low use - review",IF(AND(J72&lt;&gt;"",J72&lt;=14),"Renews soon","")))))</f>
        <v/>
      </c>
    </row>
    <row r="73">
      <c r="A73" s="13" t="n"/>
      <c r="B73" s="13" t="n"/>
      <c r="C73" s="14" t="n"/>
      <c r="D73" s="13" t="n"/>
      <c r="E73" s="15" t="n"/>
      <c r="F73" s="13" t="n"/>
      <c r="G73" s="13" t="n"/>
      <c r="H73" s="9">
        <f>IF(OR(C73="",D73=""),"",C73*VLOOKUP(D73,Lists!$A$4:$B$9,2,FALSE))</f>
        <v/>
      </c>
      <c r="I73" s="9">
        <f>IF(H73="","",H73*12)</f>
        <v/>
      </c>
      <c r="J73" s="8">
        <f>IF(E73="","",E73-TODAY())</f>
        <v/>
      </c>
      <c r="K73" s="11">
        <f>IF(A73="","",IF(G73="Cancel","Cancelling",IF(AND(J73&lt;&gt;"",J73&lt;0),"Update renewal date",IF(OR(F73="Rarely",F73="Never"),"Low use - review",IF(AND(J73&lt;&gt;"",J73&lt;=14),"Renews soon","")))))</f>
        <v/>
      </c>
    </row>
    <row r="74">
      <c r="A74" s="13" t="n"/>
      <c r="B74" s="13" t="n"/>
      <c r="C74" s="14" t="n"/>
      <c r="D74" s="13" t="n"/>
      <c r="E74" s="15" t="n"/>
      <c r="F74" s="13" t="n"/>
      <c r="G74" s="13" t="n"/>
      <c r="H74" s="9">
        <f>IF(OR(C74="",D74=""),"",C74*VLOOKUP(D74,Lists!$A$4:$B$9,2,FALSE))</f>
        <v/>
      </c>
      <c r="I74" s="9">
        <f>IF(H74="","",H74*12)</f>
        <v/>
      </c>
      <c r="J74" s="8">
        <f>IF(E74="","",E74-TODAY())</f>
        <v/>
      </c>
      <c r="K74" s="11">
        <f>IF(A74="","",IF(G74="Cancel","Cancelling",IF(AND(J74&lt;&gt;"",J74&lt;0),"Update renewal date",IF(OR(F74="Rarely",F74="Never"),"Low use - review",IF(AND(J74&lt;&gt;"",J74&lt;=14),"Renews soon","")))))</f>
        <v/>
      </c>
    </row>
    <row r="75">
      <c r="A75" s="13" t="n"/>
      <c r="B75" s="13" t="n"/>
      <c r="C75" s="14" t="n"/>
      <c r="D75" s="13" t="n"/>
      <c r="E75" s="15" t="n"/>
      <c r="F75" s="13" t="n"/>
      <c r="G75" s="13" t="n"/>
      <c r="H75" s="9">
        <f>IF(OR(C75="",D75=""),"",C75*VLOOKUP(D75,Lists!$A$4:$B$9,2,FALSE))</f>
        <v/>
      </c>
      <c r="I75" s="9">
        <f>IF(H75="","",H75*12)</f>
        <v/>
      </c>
      <c r="J75" s="8">
        <f>IF(E75="","",E75-TODAY())</f>
        <v/>
      </c>
      <c r="K75" s="11">
        <f>IF(A75="","",IF(G75="Cancel","Cancelling",IF(AND(J75&lt;&gt;"",J75&lt;0),"Update renewal date",IF(OR(F75="Rarely",F75="Never"),"Low use - review",IF(AND(J75&lt;&gt;"",J75&lt;=14),"Renews soon","")))))</f>
        <v/>
      </c>
    </row>
    <row r="76">
      <c r="A76" s="13" t="n"/>
      <c r="B76" s="13" t="n"/>
      <c r="C76" s="14" t="n"/>
      <c r="D76" s="13" t="n"/>
      <c r="E76" s="15" t="n"/>
      <c r="F76" s="13" t="n"/>
      <c r="G76" s="13" t="n"/>
      <c r="H76" s="9">
        <f>IF(OR(C76="",D76=""),"",C76*VLOOKUP(D76,Lists!$A$4:$B$9,2,FALSE))</f>
        <v/>
      </c>
      <c r="I76" s="9">
        <f>IF(H76="","",H76*12)</f>
        <v/>
      </c>
      <c r="J76" s="8">
        <f>IF(E76="","",E76-TODAY())</f>
        <v/>
      </c>
      <c r="K76" s="11">
        <f>IF(A76="","",IF(G76="Cancel","Cancelling",IF(AND(J76&lt;&gt;"",J76&lt;0),"Update renewal date",IF(OR(F76="Rarely",F76="Never"),"Low use - review",IF(AND(J76&lt;&gt;"",J76&lt;=14),"Renews soon","")))))</f>
        <v/>
      </c>
    </row>
    <row r="77">
      <c r="A77" s="13" t="n"/>
      <c r="B77" s="13" t="n"/>
      <c r="C77" s="14" t="n"/>
      <c r="D77" s="13" t="n"/>
      <c r="E77" s="15" t="n"/>
      <c r="F77" s="13" t="n"/>
      <c r="G77" s="13" t="n"/>
      <c r="H77" s="9">
        <f>IF(OR(C77="",D77=""),"",C77*VLOOKUP(D77,Lists!$A$4:$B$9,2,FALSE))</f>
        <v/>
      </c>
      <c r="I77" s="9">
        <f>IF(H77="","",H77*12)</f>
        <v/>
      </c>
      <c r="J77" s="8">
        <f>IF(E77="","",E77-TODAY())</f>
        <v/>
      </c>
      <c r="K77" s="11">
        <f>IF(A77="","",IF(G77="Cancel","Cancelling",IF(AND(J77&lt;&gt;"",J77&lt;0),"Update renewal date",IF(OR(F77="Rarely",F77="Never"),"Low use - review",IF(AND(J77&lt;&gt;"",J77&lt;=14),"Renews soon","")))))</f>
        <v/>
      </c>
    </row>
    <row r="78">
      <c r="A78" s="13" t="n"/>
      <c r="B78" s="13" t="n"/>
      <c r="C78" s="14" t="n"/>
      <c r="D78" s="13" t="n"/>
      <c r="E78" s="15" t="n"/>
      <c r="F78" s="13" t="n"/>
      <c r="G78" s="13" t="n"/>
      <c r="H78" s="9">
        <f>IF(OR(C78="",D78=""),"",C78*VLOOKUP(D78,Lists!$A$4:$B$9,2,FALSE))</f>
        <v/>
      </c>
      <c r="I78" s="9">
        <f>IF(H78="","",H78*12)</f>
        <v/>
      </c>
      <c r="J78" s="8">
        <f>IF(E78="","",E78-TODAY())</f>
        <v/>
      </c>
      <c r="K78" s="11">
        <f>IF(A78="","",IF(G78="Cancel","Cancelling",IF(AND(J78&lt;&gt;"",J78&lt;0),"Update renewal date",IF(OR(F78="Rarely",F78="Never"),"Low use - review",IF(AND(J78&lt;&gt;"",J78&lt;=14),"Renews soon","")))))</f>
        <v/>
      </c>
    </row>
    <row r="79">
      <c r="A79" s="13" t="n"/>
      <c r="B79" s="13" t="n"/>
      <c r="C79" s="14" t="n"/>
      <c r="D79" s="13" t="n"/>
      <c r="E79" s="15" t="n"/>
      <c r="F79" s="13" t="n"/>
      <c r="G79" s="13" t="n"/>
      <c r="H79" s="9">
        <f>IF(OR(C79="",D79=""),"",C79*VLOOKUP(D79,Lists!$A$4:$B$9,2,FALSE))</f>
        <v/>
      </c>
      <c r="I79" s="9">
        <f>IF(H79="","",H79*12)</f>
        <v/>
      </c>
      <c r="J79" s="8">
        <f>IF(E79="","",E79-TODAY())</f>
        <v/>
      </c>
      <c r="K79" s="11">
        <f>IF(A79="","",IF(G79="Cancel","Cancelling",IF(AND(J79&lt;&gt;"",J79&lt;0),"Update renewal date",IF(OR(F79="Rarely",F79="Never"),"Low use - review",IF(AND(J79&lt;&gt;"",J79&lt;=14),"Renews soon","")))))</f>
        <v/>
      </c>
    </row>
    <row r="80">
      <c r="A80" s="13" t="n"/>
      <c r="B80" s="13" t="n"/>
      <c r="C80" s="14" t="n"/>
      <c r="D80" s="13" t="n"/>
      <c r="E80" s="15" t="n"/>
      <c r="F80" s="13" t="n"/>
      <c r="G80" s="13" t="n"/>
      <c r="H80" s="9">
        <f>IF(OR(C80="",D80=""),"",C80*VLOOKUP(D80,Lists!$A$4:$B$9,2,FALSE))</f>
        <v/>
      </c>
      <c r="I80" s="9">
        <f>IF(H80="","",H80*12)</f>
        <v/>
      </c>
      <c r="J80" s="8">
        <f>IF(E80="","",E80-TODAY())</f>
        <v/>
      </c>
      <c r="K80" s="11">
        <f>IF(A80="","",IF(G80="Cancel","Cancelling",IF(AND(J80&lt;&gt;"",J80&lt;0),"Update renewal date",IF(OR(F80="Rarely",F80="Never"),"Low use - review",IF(AND(J80&lt;&gt;"",J80&lt;=14),"Renews soon","")))))</f>
        <v/>
      </c>
    </row>
    <row r="81">
      <c r="A81" s="13" t="n"/>
      <c r="B81" s="13" t="n"/>
      <c r="C81" s="14" t="n"/>
      <c r="D81" s="13" t="n"/>
      <c r="E81" s="15" t="n"/>
      <c r="F81" s="13" t="n"/>
      <c r="G81" s="13" t="n"/>
      <c r="H81" s="9">
        <f>IF(OR(C81="",D81=""),"",C81*VLOOKUP(D81,Lists!$A$4:$B$9,2,FALSE))</f>
        <v/>
      </c>
      <c r="I81" s="9">
        <f>IF(H81="","",H81*12)</f>
        <v/>
      </c>
      <c r="J81" s="8">
        <f>IF(E81="","",E81-TODAY())</f>
        <v/>
      </c>
      <c r="K81" s="11">
        <f>IF(A81="","",IF(G81="Cancel","Cancelling",IF(AND(J81&lt;&gt;"",J81&lt;0),"Update renewal date",IF(OR(F81="Rarely",F81="Never"),"Low use - review",IF(AND(J81&lt;&gt;"",J81&lt;=14),"Renews soon","")))))</f>
        <v/>
      </c>
    </row>
    <row r="82">
      <c r="A82" s="13" t="n"/>
      <c r="B82" s="13" t="n"/>
      <c r="C82" s="14" t="n"/>
      <c r="D82" s="13" t="n"/>
      <c r="E82" s="15" t="n"/>
      <c r="F82" s="13" t="n"/>
      <c r="G82" s="13" t="n"/>
      <c r="H82" s="9">
        <f>IF(OR(C82="",D82=""),"",C82*VLOOKUP(D82,Lists!$A$4:$B$9,2,FALSE))</f>
        <v/>
      </c>
      <c r="I82" s="9">
        <f>IF(H82="","",H82*12)</f>
        <v/>
      </c>
      <c r="J82" s="8">
        <f>IF(E82="","",E82-TODAY())</f>
        <v/>
      </c>
      <c r="K82" s="11">
        <f>IF(A82="","",IF(G82="Cancel","Cancelling",IF(AND(J82&lt;&gt;"",J82&lt;0),"Update renewal date",IF(OR(F82="Rarely",F82="Never"),"Low use - review",IF(AND(J82&lt;&gt;"",J82&lt;=14),"Renews soon","")))))</f>
        <v/>
      </c>
    </row>
    <row r="83">
      <c r="A83" s="13" t="n"/>
      <c r="B83" s="13" t="n"/>
      <c r="C83" s="14" t="n"/>
      <c r="D83" s="13" t="n"/>
      <c r="E83" s="15" t="n"/>
      <c r="F83" s="13" t="n"/>
      <c r="G83" s="13" t="n"/>
      <c r="H83" s="9">
        <f>IF(OR(C83="",D83=""),"",C83*VLOOKUP(D83,Lists!$A$4:$B$9,2,FALSE))</f>
        <v/>
      </c>
      <c r="I83" s="9">
        <f>IF(H83="","",H83*12)</f>
        <v/>
      </c>
      <c r="J83" s="8">
        <f>IF(E83="","",E83-TODAY())</f>
        <v/>
      </c>
      <c r="K83" s="11">
        <f>IF(A83="","",IF(G83="Cancel","Cancelling",IF(AND(J83&lt;&gt;"",J83&lt;0),"Update renewal date",IF(OR(F83="Rarely",F83="Never"),"Low use - review",IF(AND(J83&lt;&gt;"",J83&lt;=14),"Renews soon","")))))</f>
        <v/>
      </c>
    </row>
    <row r="84">
      <c r="A84" s="13" t="n"/>
      <c r="B84" s="13" t="n"/>
      <c r="C84" s="14" t="n"/>
      <c r="D84" s="13" t="n"/>
      <c r="E84" s="15" t="n"/>
      <c r="F84" s="13" t="n"/>
      <c r="G84" s="13" t="n"/>
      <c r="H84" s="9">
        <f>IF(OR(C84="",D84=""),"",C84*VLOOKUP(D84,Lists!$A$4:$B$9,2,FALSE))</f>
        <v/>
      </c>
      <c r="I84" s="9">
        <f>IF(H84="","",H84*12)</f>
        <v/>
      </c>
      <c r="J84" s="8">
        <f>IF(E84="","",E84-TODAY())</f>
        <v/>
      </c>
      <c r="K84" s="11">
        <f>IF(A84="","",IF(G84="Cancel","Cancelling",IF(AND(J84&lt;&gt;"",J84&lt;0),"Update renewal date",IF(OR(F84="Rarely",F84="Never"),"Low use - review",IF(AND(J84&lt;&gt;"",J84&lt;=14),"Renews soon","")))))</f>
        <v/>
      </c>
    </row>
    <row r="85">
      <c r="A85" s="13" t="n"/>
      <c r="B85" s="13" t="n"/>
      <c r="C85" s="14" t="n"/>
      <c r="D85" s="13" t="n"/>
      <c r="E85" s="15" t="n"/>
      <c r="F85" s="13" t="n"/>
      <c r="G85" s="13" t="n"/>
      <c r="H85" s="9">
        <f>IF(OR(C85="",D85=""),"",C85*VLOOKUP(D85,Lists!$A$4:$B$9,2,FALSE))</f>
        <v/>
      </c>
      <c r="I85" s="9">
        <f>IF(H85="","",H85*12)</f>
        <v/>
      </c>
      <c r="J85" s="8">
        <f>IF(E85="","",E85-TODAY())</f>
        <v/>
      </c>
      <c r="K85" s="11">
        <f>IF(A85="","",IF(G85="Cancel","Cancelling",IF(AND(J85&lt;&gt;"",J85&lt;0),"Update renewal date",IF(OR(F85="Rarely",F85="Never"),"Low use - review",IF(AND(J85&lt;&gt;"",J85&lt;=14),"Renews soon","")))))</f>
        <v/>
      </c>
    </row>
    <row r="86">
      <c r="A86" s="13" t="n"/>
      <c r="B86" s="13" t="n"/>
      <c r="C86" s="14" t="n"/>
      <c r="D86" s="13" t="n"/>
      <c r="E86" s="15" t="n"/>
      <c r="F86" s="13" t="n"/>
      <c r="G86" s="13" t="n"/>
      <c r="H86" s="9">
        <f>IF(OR(C86="",D86=""),"",C86*VLOOKUP(D86,Lists!$A$4:$B$9,2,FALSE))</f>
        <v/>
      </c>
      <c r="I86" s="9">
        <f>IF(H86="","",H86*12)</f>
        <v/>
      </c>
      <c r="J86" s="8">
        <f>IF(E86="","",E86-TODAY())</f>
        <v/>
      </c>
      <c r="K86" s="11">
        <f>IF(A86="","",IF(G86="Cancel","Cancelling",IF(AND(J86&lt;&gt;"",J86&lt;0),"Update renewal date",IF(OR(F86="Rarely",F86="Never"),"Low use - review",IF(AND(J86&lt;&gt;"",J86&lt;=14),"Renews soon","")))))</f>
        <v/>
      </c>
    </row>
    <row r="87">
      <c r="A87" s="13" t="n"/>
      <c r="B87" s="13" t="n"/>
      <c r="C87" s="14" t="n"/>
      <c r="D87" s="13" t="n"/>
      <c r="E87" s="15" t="n"/>
      <c r="F87" s="13" t="n"/>
      <c r="G87" s="13" t="n"/>
      <c r="H87" s="9">
        <f>IF(OR(C87="",D87=""),"",C87*VLOOKUP(D87,Lists!$A$4:$B$9,2,FALSE))</f>
        <v/>
      </c>
      <c r="I87" s="9">
        <f>IF(H87="","",H87*12)</f>
        <v/>
      </c>
      <c r="J87" s="8">
        <f>IF(E87="","",E87-TODAY())</f>
        <v/>
      </c>
      <c r="K87" s="11">
        <f>IF(A87="","",IF(G87="Cancel","Cancelling",IF(AND(J87&lt;&gt;"",J87&lt;0),"Update renewal date",IF(OR(F87="Rarely",F87="Never"),"Low use - review",IF(AND(J87&lt;&gt;"",J87&lt;=14),"Renews soon","")))))</f>
        <v/>
      </c>
    </row>
    <row r="88">
      <c r="A88" s="13" t="n"/>
      <c r="B88" s="13" t="n"/>
      <c r="C88" s="14" t="n"/>
      <c r="D88" s="13" t="n"/>
      <c r="E88" s="15" t="n"/>
      <c r="F88" s="13" t="n"/>
      <c r="G88" s="13" t="n"/>
      <c r="H88" s="9">
        <f>IF(OR(C88="",D88=""),"",C88*VLOOKUP(D88,Lists!$A$4:$B$9,2,FALSE))</f>
        <v/>
      </c>
      <c r="I88" s="9">
        <f>IF(H88="","",H88*12)</f>
        <v/>
      </c>
      <c r="J88" s="8">
        <f>IF(E88="","",E88-TODAY())</f>
        <v/>
      </c>
      <c r="K88" s="11">
        <f>IF(A88="","",IF(G88="Cancel","Cancelling",IF(AND(J88&lt;&gt;"",J88&lt;0),"Update renewal date",IF(OR(F88="Rarely",F88="Never"),"Low use - review",IF(AND(J88&lt;&gt;"",J88&lt;=14),"Renews soon","")))))</f>
        <v/>
      </c>
    </row>
    <row r="89">
      <c r="A89" s="13" t="n"/>
      <c r="B89" s="13" t="n"/>
      <c r="C89" s="14" t="n"/>
      <c r="D89" s="13" t="n"/>
      <c r="E89" s="15" t="n"/>
      <c r="F89" s="13" t="n"/>
      <c r="G89" s="13" t="n"/>
      <c r="H89" s="9">
        <f>IF(OR(C89="",D89=""),"",C89*VLOOKUP(D89,Lists!$A$4:$B$9,2,FALSE))</f>
        <v/>
      </c>
      <c r="I89" s="9">
        <f>IF(H89="","",H89*12)</f>
        <v/>
      </c>
      <c r="J89" s="8">
        <f>IF(E89="","",E89-TODAY())</f>
        <v/>
      </c>
      <c r="K89" s="11">
        <f>IF(A89="","",IF(G89="Cancel","Cancelling",IF(AND(J89&lt;&gt;"",J89&lt;0),"Update renewal date",IF(OR(F89="Rarely",F89="Never"),"Low use - review",IF(AND(J89&lt;&gt;"",J89&lt;=14),"Renews soon","")))))</f>
        <v/>
      </c>
    </row>
    <row r="90">
      <c r="A90" s="13" t="n"/>
      <c r="B90" s="13" t="n"/>
      <c r="C90" s="14" t="n"/>
      <c r="D90" s="13" t="n"/>
      <c r="E90" s="15" t="n"/>
      <c r="F90" s="13" t="n"/>
      <c r="G90" s="13" t="n"/>
      <c r="H90" s="9">
        <f>IF(OR(C90="",D90=""),"",C90*VLOOKUP(D90,Lists!$A$4:$B$9,2,FALSE))</f>
        <v/>
      </c>
      <c r="I90" s="9">
        <f>IF(H90="","",H90*12)</f>
        <v/>
      </c>
      <c r="J90" s="8">
        <f>IF(E90="","",E90-TODAY())</f>
        <v/>
      </c>
      <c r="K90" s="11">
        <f>IF(A90="","",IF(G90="Cancel","Cancelling",IF(AND(J90&lt;&gt;"",J90&lt;0),"Update renewal date",IF(OR(F90="Rarely",F90="Never"),"Low use - review",IF(AND(J90&lt;&gt;"",J90&lt;=14),"Renews soon","")))))</f>
        <v/>
      </c>
    </row>
    <row r="91">
      <c r="A91" s="13" t="n"/>
      <c r="B91" s="13" t="n"/>
      <c r="C91" s="14" t="n"/>
      <c r="D91" s="13" t="n"/>
      <c r="E91" s="15" t="n"/>
      <c r="F91" s="13" t="n"/>
      <c r="G91" s="13" t="n"/>
      <c r="H91" s="9">
        <f>IF(OR(C91="",D91=""),"",C91*VLOOKUP(D91,Lists!$A$4:$B$9,2,FALSE))</f>
        <v/>
      </c>
      <c r="I91" s="9">
        <f>IF(H91="","",H91*12)</f>
        <v/>
      </c>
      <c r="J91" s="8">
        <f>IF(E91="","",E91-TODAY())</f>
        <v/>
      </c>
      <c r="K91" s="11">
        <f>IF(A91="","",IF(G91="Cancel","Cancelling",IF(AND(J91&lt;&gt;"",J91&lt;0),"Update renewal date",IF(OR(F91="Rarely",F91="Never"),"Low use - review",IF(AND(J91&lt;&gt;"",J91&lt;=14),"Renews soon","")))))</f>
        <v/>
      </c>
    </row>
    <row r="92">
      <c r="A92" s="13" t="n"/>
      <c r="B92" s="13" t="n"/>
      <c r="C92" s="14" t="n"/>
      <c r="D92" s="13" t="n"/>
      <c r="E92" s="15" t="n"/>
      <c r="F92" s="13" t="n"/>
      <c r="G92" s="13" t="n"/>
      <c r="H92" s="9">
        <f>IF(OR(C92="",D92=""),"",C92*VLOOKUP(D92,Lists!$A$4:$B$9,2,FALSE))</f>
        <v/>
      </c>
      <c r="I92" s="9">
        <f>IF(H92="","",H92*12)</f>
        <v/>
      </c>
      <c r="J92" s="8">
        <f>IF(E92="","",E92-TODAY())</f>
        <v/>
      </c>
      <c r="K92" s="11">
        <f>IF(A92="","",IF(G92="Cancel","Cancelling",IF(AND(J92&lt;&gt;"",J92&lt;0),"Update renewal date",IF(OR(F92="Rarely",F92="Never"),"Low use - review",IF(AND(J92&lt;&gt;"",J92&lt;=14),"Renews soon","")))))</f>
        <v/>
      </c>
    </row>
    <row r="93">
      <c r="A93" s="13" t="n"/>
      <c r="B93" s="13" t="n"/>
      <c r="C93" s="14" t="n"/>
      <c r="D93" s="13" t="n"/>
      <c r="E93" s="15" t="n"/>
      <c r="F93" s="13" t="n"/>
      <c r="G93" s="13" t="n"/>
      <c r="H93" s="9">
        <f>IF(OR(C93="",D93=""),"",C93*VLOOKUP(D93,Lists!$A$4:$B$9,2,FALSE))</f>
        <v/>
      </c>
      <c r="I93" s="9">
        <f>IF(H93="","",H93*12)</f>
        <v/>
      </c>
      <c r="J93" s="8">
        <f>IF(E93="","",E93-TODAY())</f>
        <v/>
      </c>
      <c r="K93" s="11">
        <f>IF(A93="","",IF(G93="Cancel","Cancelling",IF(AND(J93&lt;&gt;"",J93&lt;0),"Update renewal date",IF(OR(F93="Rarely",F93="Never"),"Low use - review",IF(AND(J93&lt;&gt;"",J93&lt;=14),"Renews soon","")))))</f>
        <v/>
      </c>
    </row>
    <row r="94">
      <c r="A94" s="13" t="n"/>
      <c r="B94" s="13" t="n"/>
      <c r="C94" s="14" t="n"/>
      <c r="D94" s="13" t="n"/>
      <c r="E94" s="15" t="n"/>
      <c r="F94" s="13" t="n"/>
      <c r="G94" s="13" t="n"/>
      <c r="H94" s="9">
        <f>IF(OR(C94="",D94=""),"",C94*VLOOKUP(D94,Lists!$A$4:$B$9,2,FALSE))</f>
        <v/>
      </c>
      <c r="I94" s="9">
        <f>IF(H94="","",H94*12)</f>
        <v/>
      </c>
      <c r="J94" s="8">
        <f>IF(E94="","",E94-TODAY())</f>
        <v/>
      </c>
      <c r="K94" s="11">
        <f>IF(A94="","",IF(G94="Cancel","Cancelling",IF(AND(J94&lt;&gt;"",J94&lt;0),"Update renewal date",IF(OR(F94="Rarely",F94="Never"),"Low use - review",IF(AND(J94&lt;&gt;"",J94&lt;=14),"Renews soon","")))))</f>
        <v/>
      </c>
    </row>
    <row r="95">
      <c r="A95" s="13" t="n"/>
      <c r="B95" s="13" t="n"/>
      <c r="C95" s="14" t="n"/>
      <c r="D95" s="13" t="n"/>
      <c r="E95" s="15" t="n"/>
      <c r="F95" s="13" t="n"/>
      <c r="G95" s="13" t="n"/>
      <c r="H95" s="9">
        <f>IF(OR(C95="",D95=""),"",C95*VLOOKUP(D95,Lists!$A$4:$B$9,2,FALSE))</f>
        <v/>
      </c>
      <c r="I95" s="9">
        <f>IF(H95="","",H95*12)</f>
        <v/>
      </c>
      <c r="J95" s="8">
        <f>IF(E95="","",E95-TODAY())</f>
        <v/>
      </c>
      <c r="K95" s="11">
        <f>IF(A95="","",IF(G95="Cancel","Cancelling",IF(AND(J95&lt;&gt;"",J95&lt;0),"Update renewal date",IF(OR(F95="Rarely",F95="Never"),"Low use - review",IF(AND(J95&lt;&gt;"",J95&lt;=14),"Renews soon","")))))</f>
        <v/>
      </c>
    </row>
    <row r="96">
      <c r="A96" s="13" t="n"/>
      <c r="B96" s="13" t="n"/>
      <c r="C96" s="14" t="n"/>
      <c r="D96" s="13" t="n"/>
      <c r="E96" s="15" t="n"/>
      <c r="F96" s="13" t="n"/>
      <c r="G96" s="13" t="n"/>
      <c r="H96" s="9">
        <f>IF(OR(C96="",D96=""),"",C96*VLOOKUP(D96,Lists!$A$4:$B$9,2,FALSE))</f>
        <v/>
      </c>
      <c r="I96" s="9">
        <f>IF(H96="","",H96*12)</f>
        <v/>
      </c>
      <c r="J96" s="8">
        <f>IF(E96="","",E96-TODAY())</f>
        <v/>
      </c>
      <c r="K96" s="11">
        <f>IF(A96="","",IF(G96="Cancel","Cancelling",IF(AND(J96&lt;&gt;"",J96&lt;0),"Update renewal date",IF(OR(F96="Rarely",F96="Never"),"Low use - review",IF(AND(J96&lt;&gt;"",J96&lt;=14),"Renews soon","")))))</f>
        <v/>
      </c>
    </row>
    <row r="97">
      <c r="A97" s="13" t="n"/>
      <c r="B97" s="13" t="n"/>
      <c r="C97" s="14" t="n"/>
      <c r="D97" s="13" t="n"/>
      <c r="E97" s="15" t="n"/>
      <c r="F97" s="13" t="n"/>
      <c r="G97" s="13" t="n"/>
      <c r="H97" s="9">
        <f>IF(OR(C97="",D97=""),"",C97*VLOOKUP(D97,Lists!$A$4:$B$9,2,FALSE))</f>
        <v/>
      </c>
      <c r="I97" s="9">
        <f>IF(H97="","",H97*12)</f>
        <v/>
      </c>
      <c r="J97" s="8">
        <f>IF(E97="","",E97-TODAY())</f>
        <v/>
      </c>
      <c r="K97" s="11">
        <f>IF(A97="","",IF(G97="Cancel","Cancelling",IF(AND(J97&lt;&gt;"",J97&lt;0),"Update renewal date",IF(OR(F97="Rarely",F97="Never"),"Low use - review",IF(AND(J97&lt;&gt;"",J97&lt;=14),"Renews soon","")))))</f>
        <v/>
      </c>
    </row>
    <row r="98">
      <c r="A98" s="13" t="n"/>
      <c r="B98" s="13" t="n"/>
      <c r="C98" s="14" t="n"/>
      <c r="D98" s="13" t="n"/>
      <c r="E98" s="15" t="n"/>
      <c r="F98" s="13" t="n"/>
      <c r="G98" s="13" t="n"/>
      <c r="H98" s="9">
        <f>IF(OR(C98="",D98=""),"",C98*VLOOKUP(D98,Lists!$A$4:$B$9,2,FALSE))</f>
        <v/>
      </c>
      <c r="I98" s="9">
        <f>IF(H98="","",H98*12)</f>
        <v/>
      </c>
      <c r="J98" s="8">
        <f>IF(E98="","",E98-TODAY())</f>
        <v/>
      </c>
      <c r="K98" s="11">
        <f>IF(A98="","",IF(G98="Cancel","Cancelling",IF(AND(J98&lt;&gt;"",J98&lt;0),"Update renewal date",IF(OR(F98="Rarely",F98="Never"),"Low use - review",IF(AND(J98&lt;&gt;"",J98&lt;=14),"Renews soon","")))))</f>
        <v/>
      </c>
    </row>
    <row r="99">
      <c r="A99" s="13" t="n"/>
      <c r="B99" s="13" t="n"/>
      <c r="C99" s="14" t="n"/>
      <c r="D99" s="13" t="n"/>
      <c r="E99" s="15" t="n"/>
      <c r="F99" s="13" t="n"/>
      <c r="G99" s="13" t="n"/>
      <c r="H99" s="9">
        <f>IF(OR(C99="",D99=""),"",C99*VLOOKUP(D99,Lists!$A$4:$B$9,2,FALSE))</f>
        <v/>
      </c>
      <c r="I99" s="9">
        <f>IF(H99="","",H99*12)</f>
        <v/>
      </c>
      <c r="J99" s="8">
        <f>IF(E99="","",E99-TODAY())</f>
        <v/>
      </c>
      <c r="K99" s="11">
        <f>IF(A99="","",IF(G99="Cancel","Cancelling",IF(AND(J99&lt;&gt;"",J99&lt;0),"Update renewal date",IF(OR(F99="Rarely",F99="Never"),"Low use - review",IF(AND(J99&lt;&gt;"",J99&lt;=14),"Renews soon","")))))</f>
        <v/>
      </c>
    </row>
    <row r="100">
      <c r="A100" s="13" t="n"/>
      <c r="B100" s="13" t="n"/>
      <c r="C100" s="14" t="n"/>
      <c r="D100" s="13" t="n"/>
      <c r="E100" s="15" t="n"/>
      <c r="F100" s="13" t="n"/>
      <c r="G100" s="13" t="n"/>
      <c r="H100" s="9">
        <f>IF(OR(C100="",D100=""),"",C100*VLOOKUP(D100,Lists!$A$4:$B$9,2,FALSE))</f>
        <v/>
      </c>
      <c r="I100" s="9">
        <f>IF(H100="","",H100*12)</f>
        <v/>
      </c>
      <c r="J100" s="8">
        <f>IF(E100="","",E100-TODAY())</f>
        <v/>
      </c>
      <c r="K100" s="11">
        <f>IF(A100="","",IF(G100="Cancel","Cancelling",IF(AND(J100&lt;&gt;"",J100&lt;0),"Update renewal date",IF(OR(F100="Rarely",F100="Never"),"Low use - review",IF(AND(J100&lt;&gt;"",J100&lt;=14),"Renews soon","")))))</f>
        <v/>
      </c>
    </row>
    <row r="101">
      <c r="A101" s="13" t="n"/>
      <c r="B101" s="13" t="n"/>
      <c r="C101" s="14" t="n"/>
      <c r="D101" s="13" t="n"/>
      <c r="E101" s="15" t="n"/>
      <c r="F101" s="13" t="n"/>
      <c r="G101" s="13" t="n"/>
      <c r="H101" s="9">
        <f>IF(OR(C101="",D101=""),"",C101*VLOOKUP(D101,Lists!$A$4:$B$9,2,FALSE))</f>
        <v/>
      </c>
      <c r="I101" s="9">
        <f>IF(H101="","",H101*12)</f>
        <v/>
      </c>
      <c r="J101" s="8">
        <f>IF(E101="","",E101-TODAY())</f>
        <v/>
      </c>
      <c r="K101" s="11">
        <f>IF(A101="","",IF(G101="Cancel","Cancelling",IF(AND(J101&lt;&gt;"",J101&lt;0),"Update renewal date",IF(OR(F101="Rarely",F101="Never"),"Low use - review",IF(AND(J101&lt;&gt;"",J101&lt;=14),"Renews soon","")))))</f>
        <v/>
      </c>
    </row>
    <row r="102">
      <c r="A102" s="13" t="n"/>
      <c r="B102" s="13" t="n"/>
      <c r="C102" s="14" t="n"/>
      <c r="D102" s="13" t="n"/>
      <c r="E102" s="15" t="n"/>
      <c r="F102" s="13" t="n"/>
      <c r="G102" s="13" t="n"/>
      <c r="H102" s="9">
        <f>IF(OR(C102="",D102=""),"",C102*VLOOKUP(D102,Lists!$A$4:$B$9,2,FALSE))</f>
        <v/>
      </c>
      <c r="I102" s="9">
        <f>IF(H102="","",H102*12)</f>
        <v/>
      </c>
      <c r="J102" s="8">
        <f>IF(E102="","",E102-TODAY())</f>
        <v/>
      </c>
      <c r="K102" s="11">
        <f>IF(A102="","",IF(G102="Cancel","Cancelling",IF(AND(J102&lt;&gt;"",J102&lt;0),"Update renewal date",IF(OR(F102="Rarely",F102="Never"),"Low use - review",IF(AND(J102&lt;&gt;"",J102&lt;=14),"Renews soon","")))))</f>
        <v/>
      </c>
    </row>
    <row r="103">
      <c r="A103" s="13" t="n"/>
      <c r="B103" s="13" t="n"/>
      <c r="C103" s="14" t="n"/>
      <c r="D103" s="13" t="n"/>
      <c r="E103" s="15" t="n"/>
      <c r="F103" s="13" t="n"/>
      <c r="G103" s="13" t="n"/>
      <c r="H103" s="9">
        <f>IF(OR(C103="",D103=""),"",C103*VLOOKUP(D103,Lists!$A$4:$B$9,2,FALSE))</f>
        <v/>
      </c>
      <c r="I103" s="9">
        <f>IF(H103="","",H103*12)</f>
        <v/>
      </c>
      <c r="J103" s="8">
        <f>IF(E103="","",E103-TODAY())</f>
        <v/>
      </c>
      <c r="K103" s="11">
        <f>IF(A103="","",IF(G103="Cancel","Cancelling",IF(AND(J103&lt;&gt;"",J103&lt;0),"Update renewal date",IF(OR(F103="Rarely",F103="Never"),"Low use - review",IF(AND(J103&lt;&gt;"",J103&lt;=14),"Renews soon","")))))</f>
        <v/>
      </c>
    </row>
    <row r="104">
      <c r="A104" s="13" t="n"/>
      <c r="B104" s="13" t="n"/>
      <c r="C104" s="14" t="n"/>
      <c r="D104" s="13" t="n"/>
      <c r="E104" s="15" t="n"/>
      <c r="F104" s="13" t="n"/>
      <c r="G104" s="13" t="n"/>
      <c r="H104" s="9">
        <f>IF(OR(C104="",D104=""),"",C104*VLOOKUP(D104,Lists!$A$4:$B$9,2,FALSE))</f>
        <v/>
      </c>
      <c r="I104" s="9">
        <f>IF(H104="","",H104*12)</f>
        <v/>
      </c>
      <c r="J104" s="8">
        <f>IF(E104="","",E104-TODAY())</f>
        <v/>
      </c>
      <c r="K104" s="11">
        <f>IF(A104="","",IF(G104="Cancel","Cancelling",IF(AND(J104&lt;&gt;"",J104&lt;0),"Update renewal date",IF(OR(F104="Rarely",F104="Never"),"Low use - review",IF(AND(J104&lt;&gt;"",J104&lt;=14),"Renews soon","")))))</f>
        <v/>
      </c>
    </row>
    <row r="105">
      <c r="A105" s="13" t="n"/>
      <c r="B105" s="13" t="n"/>
      <c r="C105" s="14" t="n"/>
      <c r="D105" s="13" t="n"/>
      <c r="E105" s="15" t="n"/>
      <c r="F105" s="13" t="n"/>
      <c r="G105" s="13" t="n"/>
      <c r="H105" s="9">
        <f>IF(OR(C105="",D105=""),"",C105*VLOOKUP(D105,Lists!$A$4:$B$9,2,FALSE))</f>
        <v/>
      </c>
      <c r="I105" s="9">
        <f>IF(H105="","",H105*12)</f>
        <v/>
      </c>
      <c r="J105" s="8">
        <f>IF(E105="","",E105-TODAY())</f>
        <v/>
      </c>
      <c r="K105" s="11">
        <f>IF(A105="","",IF(G105="Cancel","Cancelling",IF(AND(J105&lt;&gt;"",J105&lt;0),"Update renewal date",IF(OR(F105="Rarely",F105="Never"),"Low use - review",IF(AND(J105&lt;&gt;"",J105&lt;=14),"Renews soon","")))))</f>
        <v/>
      </c>
    </row>
    <row r="106">
      <c r="A106" s="13" t="n"/>
      <c r="B106" s="13" t="n"/>
      <c r="C106" s="14" t="n"/>
      <c r="D106" s="13" t="n"/>
      <c r="E106" s="15" t="n"/>
      <c r="F106" s="13" t="n"/>
      <c r="G106" s="13" t="n"/>
      <c r="H106" s="9">
        <f>IF(OR(C106="",D106=""),"",C106*VLOOKUP(D106,Lists!$A$4:$B$9,2,FALSE))</f>
        <v/>
      </c>
      <c r="I106" s="9">
        <f>IF(H106="","",H106*12)</f>
        <v/>
      </c>
      <c r="J106" s="8">
        <f>IF(E106="","",E106-TODAY())</f>
        <v/>
      </c>
      <c r="K106" s="11">
        <f>IF(A106="","",IF(G106="Cancel","Cancelling",IF(AND(J106&lt;&gt;"",J106&lt;0),"Update renewal date",IF(OR(F106="Rarely",F106="Never"),"Low use - review",IF(AND(J106&lt;&gt;"",J106&lt;=14),"Renews soon","")))))</f>
        <v/>
      </c>
    </row>
    <row r="107">
      <c r="A107" s="13" t="n"/>
      <c r="B107" s="13" t="n"/>
      <c r="C107" s="14" t="n"/>
      <c r="D107" s="13" t="n"/>
      <c r="E107" s="15" t="n"/>
      <c r="F107" s="13" t="n"/>
      <c r="G107" s="13" t="n"/>
      <c r="H107" s="9">
        <f>IF(OR(C107="",D107=""),"",C107*VLOOKUP(D107,Lists!$A$4:$B$9,2,FALSE))</f>
        <v/>
      </c>
      <c r="I107" s="9">
        <f>IF(H107="","",H107*12)</f>
        <v/>
      </c>
      <c r="J107" s="8">
        <f>IF(E107="","",E107-TODAY())</f>
        <v/>
      </c>
      <c r="K107" s="11">
        <f>IF(A107="","",IF(G107="Cancel","Cancelling",IF(AND(J107&lt;&gt;"",J107&lt;0),"Update renewal date",IF(OR(F107="Rarely",F107="Never"),"Low use - review",IF(AND(J107&lt;&gt;"",J107&lt;=14),"Renews soon","")))))</f>
        <v/>
      </c>
    </row>
    <row r="108">
      <c r="A108" s="13" t="n"/>
      <c r="B108" s="13" t="n"/>
      <c r="C108" s="14" t="n"/>
      <c r="D108" s="13" t="n"/>
      <c r="E108" s="15" t="n"/>
      <c r="F108" s="13" t="n"/>
      <c r="G108" s="13" t="n"/>
      <c r="H108" s="9">
        <f>IF(OR(C108="",D108=""),"",C108*VLOOKUP(D108,Lists!$A$4:$B$9,2,FALSE))</f>
        <v/>
      </c>
      <c r="I108" s="9">
        <f>IF(H108="","",H108*12)</f>
        <v/>
      </c>
      <c r="J108" s="8">
        <f>IF(E108="","",E108-TODAY())</f>
        <v/>
      </c>
      <c r="K108" s="11">
        <f>IF(A108="","",IF(G108="Cancel","Cancelling",IF(AND(J108&lt;&gt;"",J108&lt;0),"Update renewal date",IF(OR(F108="Rarely",F108="Never"),"Low use - review",IF(AND(J108&lt;&gt;"",J108&lt;=14),"Renews soon","")))))</f>
        <v/>
      </c>
    </row>
    <row r="109">
      <c r="A109" s="13" t="n"/>
      <c r="B109" s="13" t="n"/>
      <c r="C109" s="14" t="n"/>
      <c r="D109" s="13" t="n"/>
      <c r="E109" s="15" t="n"/>
      <c r="F109" s="13" t="n"/>
      <c r="G109" s="13" t="n"/>
      <c r="H109" s="9">
        <f>IF(OR(C109="",D109=""),"",C109*VLOOKUP(D109,Lists!$A$4:$B$9,2,FALSE))</f>
        <v/>
      </c>
      <c r="I109" s="9">
        <f>IF(H109="","",H109*12)</f>
        <v/>
      </c>
      <c r="J109" s="8">
        <f>IF(E109="","",E109-TODAY())</f>
        <v/>
      </c>
      <c r="K109" s="11">
        <f>IF(A109="","",IF(G109="Cancel","Cancelling",IF(AND(J109&lt;&gt;"",J109&lt;0),"Update renewal date",IF(OR(F109="Rarely",F109="Never"),"Low use - review",IF(AND(J109&lt;&gt;"",J109&lt;=14),"Renews soon","")))))</f>
        <v/>
      </c>
    </row>
    <row r="110">
      <c r="A110" s="13" t="n"/>
      <c r="B110" s="13" t="n"/>
      <c r="C110" s="14" t="n"/>
      <c r="D110" s="13" t="n"/>
      <c r="E110" s="15" t="n"/>
      <c r="F110" s="13" t="n"/>
      <c r="G110" s="13" t="n"/>
      <c r="H110" s="9">
        <f>IF(OR(C110="",D110=""),"",C110*VLOOKUP(D110,Lists!$A$4:$B$9,2,FALSE))</f>
        <v/>
      </c>
      <c r="I110" s="9">
        <f>IF(H110="","",H110*12)</f>
        <v/>
      </c>
      <c r="J110" s="8">
        <f>IF(E110="","",E110-TODAY())</f>
        <v/>
      </c>
      <c r="K110" s="11">
        <f>IF(A110="","",IF(G110="Cancel","Cancelling",IF(AND(J110&lt;&gt;"",J110&lt;0),"Update renewal date",IF(OR(F110="Rarely",F110="Never"),"Low use - review",IF(AND(J110&lt;&gt;"",J110&lt;=14),"Renews soon","")))))</f>
        <v/>
      </c>
    </row>
    <row r="111">
      <c r="A111" s="13" t="n"/>
      <c r="B111" s="13" t="n"/>
      <c r="C111" s="14" t="n"/>
      <c r="D111" s="13" t="n"/>
      <c r="E111" s="15" t="n"/>
      <c r="F111" s="13" t="n"/>
      <c r="G111" s="13" t="n"/>
      <c r="H111" s="9">
        <f>IF(OR(C111="",D111=""),"",C111*VLOOKUP(D111,Lists!$A$4:$B$9,2,FALSE))</f>
        <v/>
      </c>
      <c r="I111" s="9">
        <f>IF(H111="","",H111*12)</f>
        <v/>
      </c>
      <c r="J111" s="8">
        <f>IF(E111="","",E111-TODAY())</f>
        <v/>
      </c>
      <c r="K111" s="11">
        <f>IF(A111="","",IF(G111="Cancel","Cancelling",IF(AND(J111&lt;&gt;"",J111&lt;0),"Update renewal date",IF(OR(F111="Rarely",F111="Never"),"Low use - review",IF(AND(J111&lt;&gt;"",J111&lt;=14),"Renews soon","")))))</f>
        <v/>
      </c>
    </row>
    <row r="112">
      <c r="A112" s="13" t="n"/>
      <c r="B112" s="13" t="n"/>
      <c r="C112" s="14" t="n"/>
      <c r="D112" s="13" t="n"/>
      <c r="E112" s="15" t="n"/>
      <c r="F112" s="13" t="n"/>
      <c r="G112" s="13" t="n"/>
      <c r="H112" s="9">
        <f>IF(OR(C112="",D112=""),"",C112*VLOOKUP(D112,Lists!$A$4:$B$9,2,FALSE))</f>
        <v/>
      </c>
      <c r="I112" s="9">
        <f>IF(H112="","",H112*12)</f>
        <v/>
      </c>
      <c r="J112" s="8">
        <f>IF(E112="","",E112-TODAY())</f>
        <v/>
      </c>
      <c r="K112" s="11">
        <f>IF(A112="","",IF(G112="Cancel","Cancelling",IF(AND(J112&lt;&gt;"",J112&lt;0),"Update renewal date",IF(OR(F112="Rarely",F112="Never"),"Low use - review",IF(AND(J112&lt;&gt;"",J112&lt;=14),"Renews soon","")))))</f>
        <v/>
      </c>
    </row>
    <row r="113">
      <c r="A113" s="13" t="n"/>
      <c r="B113" s="13" t="n"/>
      <c r="C113" s="14" t="n"/>
      <c r="D113" s="13" t="n"/>
      <c r="E113" s="15" t="n"/>
      <c r="F113" s="13" t="n"/>
      <c r="G113" s="13" t="n"/>
      <c r="H113" s="9">
        <f>IF(OR(C113="",D113=""),"",C113*VLOOKUP(D113,Lists!$A$4:$B$9,2,FALSE))</f>
        <v/>
      </c>
      <c r="I113" s="9">
        <f>IF(H113="","",H113*12)</f>
        <v/>
      </c>
      <c r="J113" s="8">
        <f>IF(E113="","",E113-TODAY())</f>
        <v/>
      </c>
      <c r="K113" s="11">
        <f>IF(A113="","",IF(G113="Cancel","Cancelling",IF(AND(J113&lt;&gt;"",J113&lt;0),"Update renewal date",IF(OR(F113="Rarely",F113="Never"),"Low use - review",IF(AND(J113&lt;&gt;"",J113&lt;=14),"Renews soon","")))))</f>
        <v/>
      </c>
    </row>
    <row r="114">
      <c r="A114" s="13" t="n"/>
      <c r="B114" s="13" t="n"/>
      <c r="C114" s="14" t="n"/>
      <c r="D114" s="13" t="n"/>
      <c r="E114" s="15" t="n"/>
      <c r="F114" s="13" t="n"/>
      <c r="G114" s="13" t="n"/>
      <c r="H114" s="9">
        <f>IF(OR(C114="",D114=""),"",C114*VLOOKUP(D114,Lists!$A$4:$B$9,2,FALSE))</f>
        <v/>
      </c>
      <c r="I114" s="9">
        <f>IF(H114="","",H114*12)</f>
        <v/>
      </c>
      <c r="J114" s="8">
        <f>IF(E114="","",E114-TODAY())</f>
        <v/>
      </c>
      <c r="K114" s="11">
        <f>IF(A114="","",IF(G114="Cancel","Cancelling",IF(AND(J114&lt;&gt;"",J114&lt;0),"Update renewal date",IF(OR(F114="Rarely",F114="Never"),"Low use - review",IF(AND(J114&lt;&gt;"",J114&lt;=14),"Renews soon","")))))</f>
        <v/>
      </c>
    </row>
    <row r="115">
      <c r="A115" s="13" t="n"/>
      <c r="B115" s="13" t="n"/>
      <c r="C115" s="14" t="n"/>
      <c r="D115" s="13" t="n"/>
      <c r="E115" s="15" t="n"/>
      <c r="F115" s="13" t="n"/>
      <c r="G115" s="13" t="n"/>
      <c r="H115" s="9">
        <f>IF(OR(C115="",D115=""),"",C115*VLOOKUP(D115,Lists!$A$4:$B$9,2,FALSE))</f>
        <v/>
      </c>
      <c r="I115" s="9">
        <f>IF(H115="","",H115*12)</f>
        <v/>
      </c>
      <c r="J115" s="8">
        <f>IF(E115="","",E115-TODAY())</f>
        <v/>
      </c>
      <c r="K115" s="11">
        <f>IF(A115="","",IF(G115="Cancel","Cancelling",IF(AND(J115&lt;&gt;"",J115&lt;0),"Update renewal date",IF(OR(F115="Rarely",F115="Never"),"Low use - review",IF(AND(J115&lt;&gt;"",J115&lt;=14),"Renews soon","")))))</f>
        <v/>
      </c>
    </row>
    <row r="116">
      <c r="A116" s="13" t="n"/>
      <c r="B116" s="13" t="n"/>
      <c r="C116" s="14" t="n"/>
      <c r="D116" s="13" t="n"/>
      <c r="E116" s="15" t="n"/>
      <c r="F116" s="13" t="n"/>
      <c r="G116" s="13" t="n"/>
      <c r="H116" s="9">
        <f>IF(OR(C116="",D116=""),"",C116*VLOOKUP(D116,Lists!$A$4:$B$9,2,FALSE))</f>
        <v/>
      </c>
      <c r="I116" s="9">
        <f>IF(H116="","",H116*12)</f>
        <v/>
      </c>
      <c r="J116" s="8">
        <f>IF(E116="","",E116-TODAY())</f>
        <v/>
      </c>
      <c r="K116" s="11">
        <f>IF(A116="","",IF(G116="Cancel","Cancelling",IF(AND(J116&lt;&gt;"",J116&lt;0),"Update renewal date",IF(OR(F116="Rarely",F116="Never"),"Low use - review",IF(AND(J116&lt;&gt;"",J116&lt;=14),"Renews soon","")))))</f>
        <v/>
      </c>
    </row>
    <row r="117">
      <c r="A117" s="13" t="n"/>
      <c r="B117" s="13" t="n"/>
      <c r="C117" s="14" t="n"/>
      <c r="D117" s="13" t="n"/>
      <c r="E117" s="15" t="n"/>
      <c r="F117" s="13" t="n"/>
      <c r="G117" s="13" t="n"/>
      <c r="H117" s="9">
        <f>IF(OR(C117="",D117=""),"",C117*VLOOKUP(D117,Lists!$A$4:$B$9,2,FALSE))</f>
        <v/>
      </c>
      <c r="I117" s="9">
        <f>IF(H117="","",H117*12)</f>
        <v/>
      </c>
      <c r="J117" s="8">
        <f>IF(E117="","",E117-TODAY())</f>
        <v/>
      </c>
      <c r="K117" s="11">
        <f>IF(A117="","",IF(G117="Cancel","Cancelling",IF(AND(J117&lt;&gt;"",J117&lt;0),"Update renewal date",IF(OR(F117="Rarely",F117="Never"),"Low use - review",IF(AND(J117&lt;&gt;"",J117&lt;=14),"Renews soon","")))))</f>
        <v/>
      </c>
    </row>
    <row r="118">
      <c r="A118" s="13" t="n"/>
      <c r="B118" s="13" t="n"/>
      <c r="C118" s="14" t="n"/>
      <c r="D118" s="13" t="n"/>
      <c r="E118" s="15" t="n"/>
      <c r="F118" s="13" t="n"/>
      <c r="G118" s="13" t="n"/>
      <c r="H118" s="9">
        <f>IF(OR(C118="",D118=""),"",C118*VLOOKUP(D118,Lists!$A$4:$B$9,2,FALSE))</f>
        <v/>
      </c>
      <c r="I118" s="9">
        <f>IF(H118="","",H118*12)</f>
        <v/>
      </c>
      <c r="J118" s="8">
        <f>IF(E118="","",E118-TODAY())</f>
        <v/>
      </c>
      <c r="K118" s="11">
        <f>IF(A118="","",IF(G118="Cancel","Cancelling",IF(AND(J118&lt;&gt;"",J118&lt;0),"Update renewal date",IF(OR(F118="Rarely",F118="Never"),"Low use - review",IF(AND(J118&lt;&gt;"",J118&lt;=14),"Renews soon","")))))</f>
        <v/>
      </c>
    </row>
    <row r="119">
      <c r="A119" s="13" t="n"/>
      <c r="B119" s="13" t="n"/>
      <c r="C119" s="14" t="n"/>
      <c r="D119" s="13" t="n"/>
      <c r="E119" s="15" t="n"/>
      <c r="F119" s="13" t="n"/>
      <c r="G119" s="13" t="n"/>
      <c r="H119" s="9">
        <f>IF(OR(C119="",D119=""),"",C119*VLOOKUP(D119,Lists!$A$4:$B$9,2,FALSE))</f>
        <v/>
      </c>
      <c r="I119" s="9">
        <f>IF(H119="","",H119*12)</f>
        <v/>
      </c>
      <c r="J119" s="8">
        <f>IF(E119="","",E119-TODAY())</f>
        <v/>
      </c>
      <c r="K119" s="11">
        <f>IF(A119="","",IF(G119="Cancel","Cancelling",IF(AND(J119&lt;&gt;"",J119&lt;0),"Update renewal date",IF(OR(F119="Rarely",F119="Never"),"Low use - review",IF(AND(J119&lt;&gt;"",J119&lt;=14),"Renews soon","")))))</f>
        <v/>
      </c>
    </row>
    <row r="120">
      <c r="A120" s="13" t="n"/>
      <c r="B120" s="13" t="n"/>
      <c r="C120" s="14" t="n"/>
      <c r="D120" s="13" t="n"/>
      <c r="E120" s="15" t="n"/>
      <c r="F120" s="13" t="n"/>
      <c r="G120" s="13" t="n"/>
      <c r="H120" s="9">
        <f>IF(OR(C120="",D120=""),"",C120*VLOOKUP(D120,Lists!$A$4:$B$9,2,FALSE))</f>
        <v/>
      </c>
      <c r="I120" s="9">
        <f>IF(H120="","",H120*12)</f>
        <v/>
      </c>
      <c r="J120" s="8">
        <f>IF(E120="","",E120-TODAY())</f>
        <v/>
      </c>
      <c r="K120" s="11">
        <f>IF(A120="","",IF(G120="Cancel","Cancelling",IF(AND(J120&lt;&gt;"",J120&lt;0),"Update renewal date",IF(OR(F120="Rarely",F120="Never"),"Low use - review",IF(AND(J120&lt;&gt;"",J120&lt;=14),"Renews soon","")))))</f>
        <v/>
      </c>
    </row>
    <row r="121">
      <c r="A121" s="13" t="n"/>
      <c r="B121" s="13" t="n"/>
      <c r="C121" s="14" t="n"/>
      <c r="D121" s="13" t="n"/>
      <c r="E121" s="15" t="n"/>
      <c r="F121" s="13" t="n"/>
      <c r="G121" s="13" t="n"/>
      <c r="H121" s="9">
        <f>IF(OR(C121="",D121=""),"",C121*VLOOKUP(D121,Lists!$A$4:$B$9,2,FALSE))</f>
        <v/>
      </c>
      <c r="I121" s="9">
        <f>IF(H121="","",H121*12)</f>
        <v/>
      </c>
      <c r="J121" s="8">
        <f>IF(E121="","",E121-TODAY())</f>
        <v/>
      </c>
      <c r="K121" s="11">
        <f>IF(A121="","",IF(G121="Cancel","Cancelling",IF(AND(J121&lt;&gt;"",J121&lt;0),"Update renewal date",IF(OR(F121="Rarely",F121="Never"),"Low use - review",IF(AND(J121&lt;&gt;"",J121&lt;=14),"Renews soon","")))))</f>
        <v/>
      </c>
    </row>
    <row r="122">
      <c r="A122" s="13" t="n"/>
      <c r="B122" s="13" t="n"/>
      <c r="C122" s="14" t="n"/>
      <c r="D122" s="13" t="n"/>
      <c r="E122" s="15" t="n"/>
      <c r="F122" s="13" t="n"/>
      <c r="G122" s="13" t="n"/>
      <c r="H122" s="9">
        <f>IF(OR(C122="",D122=""),"",C122*VLOOKUP(D122,Lists!$A$4:$B$9,2,FALSE))</f>
        <v/>
      </c>
      <c r="I122" s="9">
        <f>IF(H122="","",H122*12)</f>
        <v/>
      </c>
      <c r="J122" s="8">
        <f>IF(E122="","",E122-TODAY())</f>
        <v/>
      </c>
      <c r="K122" s="11">
        <f>IF(A122="","",IF(G122="Cancel","Cancelling",IF(AND(J122&lt;&gt;"",J122&lt;0),"Update renewal date",IF(OR(F122="Rarely",F122="Never"),"Low use - review",IF(AND(J122&lt;&gt;"",J122&lt;=14),"Renews soon","")))))</f>
        <v/>
      </c>
    </row>
    <row r="123">
      <c r="A123" s="13" t="n"/>
      <c r="B123" s="13" t="n"/>
      <c r="C123" s="14" t="n"/>
      <c r="D123" s="13" t="n"/>
      <c r="E123" s="15" t="n"/>
      <c r="F123" s="13" t="n"/>
      <c r="G123" s="13" t="n"/>
      <c r="H123" s="9">
        <f>IF(OR(C123="",D123=""),"",C123*VLOOKUP(D123,Lists!$A$4:$B$9,2,FALSE))</f>
        <v/>
      </c>
      <c r="I123" s="9">
        <f>IF(H123="","",H123*12)</f>
        <v/>
      </c>
      <c r="J123" s="8">
        <f>IF(E123="","",E123-TODAY())</f>
        <v/>
      </c>
      <c r="K123" s="11">
        <f>IF(A123="","",IF(G123="Cancel","Cancelling",IF(AND(J123&lt;&gt;"",J123&lt;0),"Update renewal date",IF(OR(F123="Rarely",F123="Never"),"Low use - review",IF(AND(J123&lt;&gt;"",J123&lt;=14),"Renews soon","")))))</f>
        <v/>
      </c>
    </row>
    <row r="124">
      <c r="A124" s="13" t="n"/>
      <c r="B124" s="13" t="n"/>
      <c r="C124" s="14" t="n"/>
      <c r="D124" s="13" t="n"/>
      <c r="E124" s="15" t="n"/>
      <c r="F124" s="13" t="n"/>
      <c r="G124" s="13" t="n"/>
      <c r="H124" s="9">
        <f>IF(OR(C124="",D124=""),"",C124*VLOOKUP(D124,Lists!$A$4:$B$9,2,FALSE))</f>
        <v/>
      </c>
      <c r="I124" s="9">
        <f>IF(H124="","",H124*12)</f>
        <v/>
      </c>
      <c r="J124" s="8">
        <f>IF(E124="","",E124-TODAY())</f>
        <v/>
      </c>
      <c r="K124" s="11">
        <f>IF(A124="","",IF(G124="Cancel","Cancelling",IF(AND(J124&lt;&gt;"",J124&lt;0),"Update renewal date",IF(OR(F124="Rarely",F124="Never"),"Low use - review",IF(AND(J124&lt;&gt;"",J124&lt;=14),"Renews soon","")))))</f>
        <v/>
      </c>
    </row>
    <row r="125">
      <c r="A125" s="13" t="n"/>
      <c r="B125" s="13" t="n"/>
      <c r="C125" s="14" t="n"/>
      <c r="D125" s="13" t="n"/>
      <c r="E125" s="15" t="n"/>
      <c r="F125" s="13" t="n"/>
      <c r="G125" s="13" t="n"/>
      <c r="H125" s="9">
        <f>IF(OR(C125="",D125=""),"",C125*VLOOKUP(D125,Lists!$A$4:$B$9,2,FALSE))</f>
        <v/>
      </c>
      <c r="I125" s="9">
        <f>IF(H125="","",H125*12)</f>
        <v/>
      </c>
      <c r="J125" s="8">
        <f>IF(E125="","",E125-TODAY())</f>
        <v/>
      </c>
      <c r="K125" s="11">
        <f>IF(A125="","",IF(G125="Cancel","Cancelling",IF(AND(J125&lt;&gt;"",J125&lt;0),"Update renewal date",IF(OR(F125="Rarely",F125="Never"),"Low use - review",IF(AND(J125&lt;&gt;"",J125&lt;=14),"Renews soon","")))))</f>
        <v/>
      </c>
    </row>
    <row r="126">
      <c r="A126" s="13" t="n"/>
      <c r="B126" s="13" t="n"/>
      <c r="C126" s="14" t="n"/>
      <c r="D126" s="13" t="n"/>
      <c r="E126" s="15" t="n"/>
      <c r="F126" s="13" t="n"/>
      <c r="G126" s="13" t="n"/>
      <c r="H126" s="9">
        <f>IF(OR(C126="",D126=""),"",C126*VLOOKUP(D126,Lists!$A$4:$B$9,2,FALSE))</f>
        <v/>
      </c>
      <c r="I126" s="9">
        <f>IF(H126="","",H126*12)</f>
        <v/>
      </c>
      <c r="J126" s="8">
        <f>IF(E126="","",E126-TODAY())</f>
        <v/>
      </c>
      <c r="K126" s="11">
        <f>IF(A126="","",IF(G126="Cancel","Cancelling",IF(AND(J126&lt;&gt;"",J126&lt;0),"Update renewal date",IF(OR(F126="Rarely",F126="Never"),"Low use - review",IF(AND(J126&lt;&gt;"",J126&lt;=14),"Renews soon","")))))</f>
        <v/>
      </c>
    </row>
    <row r="127">
      <c r="A127" s="13" t="n"/>
      <c r="B127" s="13" t="n"/>
      <c r="C127" s="14" t="n"/>
      <c r="D127" s="13" t="n"/>
      <c r="E127" s="15" t="n"/>
      <c r="F127" s="13" t="n"/>
      <c r="G127" s="13" t="n"/>
      <c r="H127" s="9">
        <f>IF(OR(C127="",D127=""),"",C127*VLOOKUP(D127,Lists!$A$4:$B$9,2,FALSE))</f>
        <v/>
      </c>
      <c r="I127" s="9">
        <f>IF(H127="","",H127*12)</f>
        <v/>
      </c>
      <c r="J127" s="8">
        <f>IF(E127="","",E127-TODAY())</f>
        <v/>
      </c>
      <c r="K127" s="11">
        <f>IF(A127="","",IF(G127="Cancel","Cancelling",IF(AND(J127&lt;&gt;"",J127&lt;0),"Update renewal date",IF(OR(F127="Rarely",F127="Never"),"Low use - review",IF(AND(J127&lt;&gt;"",J127&lt;=14),"Renews soon","")))))</f>
        <v/>
      </c>
    </row>
    <row r="128">
      <c r="A128" s="13" t="n"/>
      <c r="B128" s="13" t="n"/>
      <c r="C128" s="14" t="n"/>
      <c r="D128" s="13" t="n"/>
      <c r="E128" s="15" t="n"/>
      <c r="F128" s="13" t="n"/>
      <c r="G128" s="13" t="n"/>
      <c r="H128" s="9">
        <f>IF(OR(C128="",D128=""),"",C128*VLOOKUP(D128,Lists!$A$4:$B$9,2,FALSE))</f>
        <v/>
      </c>
      <c r="I128" s="9">
        <f>IF(H128="","",H128*12)</f>
        <v/>
      </c>
      <c r="J128" s="8">
        <f>IF(E128="","",E128-TODAY())</f>
        <v/>
      </c>
      <c r="K128" s="11">
        <f>IF(A128="","",IF(G128="Cancel","Cancelling",IF(AND(J128&lt;&gt;"",J128&lt;0),"Update renewal date",IF(OR(F128="Rarely",F128="Never"),"Low use - review",IF(AND(J128&lt;&gt;"",J128&lt;=14),"Renews soon","")))))</f>
        <v/>
      </c>
    </row>
    <row r="129">
      <c r="A129" s="13" t="n"/>
      <c r="B129" s="13" t="n"/>
      <c r="C129" s="14" t="n"/>
      <c r="D129" s="13" t="n"/>
      <c r="E129" s="15" t="n"/>
      <c r="F129" s="13" t="n"/>
      <c r="G129" s="13" t="n"/>
      <c r="H129" s="9">
        <f>IF(OR(C129="",D129=""),"",C129*VLOOKUP(D129,Lists!$A$4:$B$9,2,FALSE))</f>
        <v/>
      </c>
      <c r="I129" s="9">
        <f>IF(H129="","",H129*12)</f>
        <v/>
      </c>
      <c r="J129" s="8">
        <f>IF(E129="","",E129-TODAY())</f>
        <v/>
      </c>
      <c r="K129" s="11">
        <f>IF(A129="","",IF(G129="Cancel","Cancelling",IF(AND(J129&lt;&gt;"",J129&lt;0),"Update renewal date",IF(OR(F129="Rarely",F129="Never"),"Low use - review",IF(AND(J129&lt;&gt;"",J129&lt;=14),"Renews soon","")))))</f>
        <v/>
      </c>
    </row>
    <row r="130">
      <c r="A130" s="13" t="n"/>
      <c r="B130" s="13" t="n"/>
      <c r="C130" s="14" t="n"/>
      <c r="D130" s="13" t="n"/>
      <c r="E130" s="15" t="n"/>
      <c r="F130" s="13" t="n"/>
      <c r="G130" s="13" t="n"/>
      <c r="H130" s="9">
        <f>IF(OR(C130="",D130=""),"",C130*VLOOKUP(D130,Lists!$A$4:$B$9,2,FALSE))</f>
        <v/>
      </c>
      <c r="I130" s="9">
        <f>IF(H130="","",H130*12)</f>
        <v/>
      </c>
      <c r="J130" s="8">
        <f>IF(E130="","",E130-TODAY())</f>
        <v/>
      </c>
      <c r="K130" s="11">
        <f>IF(A130="","",IF(G130="Cancel","Cancelling",IF(AND(J130&lt;&gt;"",J130&lt;0),"Update renewal date",IF(OR(F130="Rarely",F130="Never"),"Low use - review",IF(AND(J130&lt;&gt;"",J130&lt;=14),"Renews soon","")))))</f>
        <v/>
      </c>
    </row>
    <row r="131">
      <c r="A131" s="13" t="n"/>
      <c r="B131" s="13" t="n"/>
      <c r="C131" s="14" t="n"/>
      <c r="D131" s="13" t="n"/>
      <c r="E131" s="15" t="n"/>
      <c r="F131" s="13" t="n"/>
      <c r="G131" s="13" t="n"/>
      <c r="H131" s="9">
        <f>IF(OR(C131="",D131=""),"",C131*VLOOKUP(D131,Lists!$A$4:$B$9,2,FALSE))</f>
        <v/>
      </c>
      <c r="I131" s="9">
        <f>IF(H131="","",H131*12)</f>
        <v/>
      </c>
      <c r="J131" s="8">
        <f>IF(E131="","",E131-TODAY())</f>
        <v/>
      </c>
      <c r="K131" s="11">
        <f>IF(A131="","",IF(G131="Cancel","Cancelling",IF(AND(J131&lt;&gt;"",J131&lt;0),"Update renewal date",IF(OR(F131="Rarely",F131="Never"),"Low use - review",IF(AND(J131&lt;&gt;"",J131&lt;=14),"Renews soon","")))))</f>
        <v/>
      </c>
    </row>
    <row r="132">
      <c r="A132" s="13" t="n"/>
      <c r="B132" s="13" t="n"/>
      <c r="C132" s="14" t="n"/>
      <c r="D132" s="13" t="n"/>
      <c r="E132" s="15" t="n"/>
      <c r="F132" s="13" t="n"/>
      <c r="G132" s="13" t="n"/>
      <c r="H132" s="9">
        <f>IF(OR(C132="",D132=""),"",C132*VLOOKUP(D132,Lists!$A$4:$B$9,2,FALSE))</f>
        <v/>
      </c>
      <c r="I132" s="9">
        <f>IF(H132="","",H132*12)</f>
        <v/>
      </c>
      <c r="J132" s="8">
        <f>IF(E132="","",E132-TODAY())</f>
        <v/>
      </c>
      <c r="K132" s="11">
        <f>IF(A132="","",IF(G132="Cancel","Cancelling",IF(AND(J132&lt;&gt;"",J132&lt;0),"Update renewal date",IF(OR(F132="Rarely",F132="Never"),"Low use - review",IF(AND(J132&lt;&gt;"",J132&lt;=14),"Renews soon","")))))</f>
        <v/>
      </c>
    </row>
    <row r="133">
      <c r="A133" s="13" t="n"/>
      <c r="B133" s="13" t="n"/>
      <c r="C133" s="14" t="n"/>
      <c r="D133" s="13" t="n"/>
      <c r="E133" s="15" t="n"/>
      <c r="F133" s="13" t="n"/>
      <c r="G133" s="13" t="n"/>
      <c r="H133" s="9">
        <f>IF(OR(C133="",D133=""),"",C133*VLOOKUP(D133,Lists!$A$4:$B$9,2,FALSE))</f>
        <v/>
      </c>
      <c r="I133" s="9">
        <f>IF(H133="","",H133*12)</f>
        <v/>
      </c>
      <c r="J133" s="8">
        <f>IF(E133="","",E133-TODAY())</f>
        <v/>
      </c>
      <c r="K133" s="11">
        <f>IF(A133="","",IF(G133="Cancel","Cancelling",IF(AND(J133&lt;&gt;"",J133&lt;0),"Update renewal date",IF(OR(F133="Rarely",F133="Never"),"Low use - review",IF(AND(J133&lt;&gt;"",J133&lt;=14),"Renews soon","")))))</f>
        <v/>
      </c>
    </row>
    <row r="134">
      <c r="A134" s="13" t="n"/>
      <c r="B134" s="13" t="n"/>
      <c r="C134" s="14" t="n"/>
      <c r="D134" s="13" t="n"/>
      <c r="E134" s="15" t="n"/>
      <c r="F134" s="13" t="n"/>
      <c r="G134" s="13" t="n"/>
      <c r="H134" s="9">
        <f>IF(OR(C134="",D134=""),"",C134*VLOOKUP(D134,Lists!$A$4:$B$9,2,FALSE))</f>
        <v/>
      </c>
      <c r="I134" s="9">
        <f>IF(H134="","",H134*12)</f>
        <v/>
      </c>
      <c r="J134" s="8">
        <f>IF(E134="","",E134-TODAY())</f>
        <v/>
      </c>
      <c r="K134" s="11">
        <f>IF(A134="","",IF(G134="Cancel","Cancelling",IF(AND(J134&lt;&gt;"",J134&lt;0),"Update renewal date",IF(OR(F134="Rarely",F134="Never"),"Low use - review",IF(AND(J134&lt;&gt;"",J134&lt;=14),"Renews soon","")))))</f>
        <v/>
      </c>
    </row>
    <row r="135">
      <c r="A135" s="13" t="n"/>
      <c r="B135" s="13" t="n"/>
      <c r="C135" s="14" t="n"/>
      <c r="D135" s="13" t="n"/>
      <c r="E135" s="15" t="n"/>
      <c r="F135" s="13" t="n"/>
      <c r="G135" s="13" t="n"/>
      <c r="H135" s="9">
        <f>IF(OR(C135="",D135=""),"",C135*VLOOKUP(D135,Lists!$A$4:$B$9,2,FALSE))</f>
        <v/>
      </c>
      <c r="I135" s="9">
        <f>IF(H135="","",H135*12)</f>
        <v/>
      </c>
      <c r="J135" s="8">
        <f>IF(E135="","",E135-TODAY())</f>
        <v/>
      </c>
      <c r="K135" s="11">
        <f>IF(A135="","",IF(G135="Cancel","Cancelling",IF(AND(J135&lt;&gt;"",J135&lt;0),"Update renewal date",IF(OR(F135="Rarely",F135="Never"),"Low use - review",IF(AND(J135&lt;&gt;"",J135&lt;=14),"Renews soon","")))))</f>
        <v/>
      </c>
    </row>
    <row r="136">
      <c r="A136" s="13" t="n"/>
      <c r="B136" s="13" t="n"/>
      <c r="C136" s="14" t="n"/>
      <c r="D136" s="13" t="n"/>
      <c r="E136" s="15" t="n"/>
      <c r="F136" s="13" t="n"/>
      <c r="G136" s="13" t="n"/>
      <c r="H136" s="9">
        <f>IF(OR(C136="",D136=""),"",C136*VLOOKUP(D136,Lists!$A$4:$B$9,2,FALSE))</f>
        <v/>
      </c>
      <c r="I136" s="9">
        <f>IF(H136="","",H136*12)</f>
        <v/>
      </c>
      <c r="J136" s="8">
        <f>IF(E136="","",E136-TODAY())</f>
        <v/>
      </c>
      <c r="K136" s="11">
        <f>IF(A136="","",IF(G136="Cancel","Cancelling",IF(AND(J136&lt;&gt;"",J136&lt;0),"Update renewal date",IF(OR(F136="Rarely",F136="Never"),"Low use - review",IF(AND(J136&lt;&gt;"",J136&lt;=14),"Renews soon","")))))</f>
        <v/>
      </c>
    </row>
    <row r="137">
      <c r="A137" s="13" t="n"/>
      <c r="B137" s="13" t="n"/>
      <c r="C137" s="14" t="n"/>
      <c r="D137" s="13" t="n"/>
      <c r="E137" s="15" t="n"/>
      <c r="F137" s="13" t="n"/>
      <c r="G137" s="13" t="n"/>
      <c r="H137" s="9">
        <f>IF(OR(C137="",D137=""),"",C137*VLOOKUP(D137,Lists!$A$4:$B$9,2,FALSE))</f>
        <v/>
      </c>
      <c r="I137" s="9">
        <f>IF(H137="","",H137*12)</f>
        <v/>
      </c>
      <c r="J137" s="8">
        <f>IF(E137="","",E137-TODAY())</f>
        <v/>
      </c>
      <c r="K137" s="11">
        <f>IF(A137="","",IF(G137="Cancel","Cancelling",IF(AND(J137&lt;&gt;"",J137&lt;0),"Update renewal date",IF(OR(F137="Rarely",F137="Never"),"Low use - review",IF(AND(J137&lt;&gt;"",J137&lt;=14),"Renews soon","")))))</f>
        <v/>
      </c>
    </row>
    <row r="138">
      <c r="A138" s="13" t="n"/>
      <c r="B138" s="13" t="n"/>
      <c r="C138" s="14" t="n"/>
      <c r="D138" s="13" t="n"/>
      <c r="E138" s="15" t="n"/>
      <c r="F138" s="13" t="n"/>
      <c r="G138" s="13" t="n"/>
      <c r="H138" s="9">
        <f>IF(OR(C138="",D138=""),"",C138*VLOOKUP(D138,Lists!$A$4:$B$9,2,FALSE))</f>
        <v/>
      </c>
      <c r="I138" s="9">
        <f>IF(H138="","",H138*12)</f>
        <v/>
      </c>
      <c r="J138" s="8">
        <f>IF(E138="","",E138-TODAY())</f>
        <v/>
      </c>
      <c r="K138" s="11">
        <f>IF(A138="","",IF(G138="Cancel","Cancelling",IF(AND(J138&lt;&gt;"",J138&lt;0),"Update renewal date",IF(OR(F138="Rarely",F138="Never"),"Low use - review",IF(AND(J138&lt;&gt;"",J138&lt;=14),"Renews soon","")))))</f>
        <v/>
      </c>
    </row>
    <row r="139">
      <c r="A139" s="13" t="n"/>
      <c r="B139" s="13" t="n"/>
      <c r="C139" s="14" t="n"/>
      <c r="D139" s="13" t="n"/>
      <c r="E139" s="15" t="n"/>
      <c r="F139" s="13" t="n"/>
      <c r="G139" s="13" t="n"/>
      <c r="H139" s="9">
        <f>IF(OR(C139="",D139=""),"",C139*VLOOKUP(D139,Lists!$A$4:$B$9,2,FALSE))</f>
        <v/>
      </c>
      <c r="I139" s="9">
        <f>IF(H139="","",H139*12)</f>
        <v/>
      </c>
      <c r="J139" s="8">
        <f>IF(E139="","",E139-TODAY())</f>
        <v/>
      </c>
      <c r="K139" s="11">
        <f>IF(A139="","",IF(G139="Cancel","Cancelling",IF(AND(J139&lt;&gt;"",J139&lt;0),"Update renewal date",IF(OR(F139="Rarely",F139="Never"),"Low use - review",IF(AND(J139&lt;&gt;"",J139&lt;=14),"Renews soon","")))))</f>
        <v/>
      </c>
    </row>
    <row r="140">
      <c r="A140" s="13" t="n"/>
      <c r="B140" s="13" t="n"/>
      <c r="C140" s="14" t="n"/>
      <c r="D140" s="13" t="n"/>
      <c r="E140" s="15" t="n"/>
      <c r="F140" s="13" t="n"/>
      <c r="G140" s="13" t="n"/>
      <c r="H140" s="9">
        <f>IF(OR(C140="",D140=""),"",C140*VLOOKUP(D140,Lists!$A$4:$B$9,2,FALSE))</f>
        <v/>
      </c>
      <c r="I140" s="9">
        <f>IF(H140="","",H140*12)</f>
        <v/>
      </c>
      <c r="J140" s="8">
        <f>IF(E140="","",E140-TODAY())</f>
        <v/>
      </c>
      <c r="K140" s="11">
        <f>IF(A140="","",IF(G140="Cancel","Cancelling",IF(AND(J140&lt;&gt;"",J140&lt;0),"Update renewal date",IF(OR(F140="Rarely",F140="Never"),"Low use - review",IF(AND(J140&lt;&gt;"",J140&lt;=14),"Renews soon","")))))</f>
        <v/>
      </c>
    </row>
    <row r="141">
      <c r="A141" s="13" t="n"/>
      <c r="B141" s="13" t="n"/>
      <c r="C141" s="14" t="n"/>
      <c r="D141" s="13" t="n"/>
      <c r="E141" s="15" t="n"/>
      <c r="F141" s="13" t="n"/>
      <c r="G141" s="13" t="n"/>
      <c r="H141" s="9">
        <f>IF(OR(C141="",D141=""),"",C141*VLOOKUP(D141,Lists!$A$4:$B$9,2,FALSE))</f>
        <v/>
      </c>
      <c r="I141" s="9">
        <f>IF(H141="","",H141*12)</f>
        <v/>
      </c>
      <c r="J141" s="8">
        <f>IF(E141="","",E141-TODAY())</f>
        <v/>
      </c>
      <c r="K141" s="11">
        <f>IF(A141="","",IF(G141="Cancel","Cancelling",IF(AND(J141&lt;&gt;"",J141&lt;0),"Update renewal date",IF(OR(F141="Rarely",F141="Never"),"Low use - review",IF(AND(J141&lt;&gt;"",J141&lt;=14),"Renews soon","")))))</f>
        <v/>
      </c>
    </row>
    <row r="142">
      <c r="A142" s="13" t="n"/>
      <c r="B142" s="13" t="n"/>
      <c r="C142" s="14" t="n"/>
      <c r="D142" s="13" t="n"/>
      <c r="E142" s="15" t="n"/>
      <c r="F142" s="13" t="n"/>
      <c r="G142" s="13" t="n"/>
      <c r="H142" s="9">
        <f>IF(OR(C142="",D142=""),"",C142*VLOOKUP(D142,Lists!$A$4:$B$9,2,FALSE))</f>
        <v/>
      </c>
      <c r="I142" s="9">
        <f>IF(H142="","",H142*12)</f>
        <v/>
      </c>
      <c r="J142" s="8">
        <f>IF(E142="","",E142-TODAY())</f>
        <v/>
      </c>
      <c r="K142" s="11">
        <f>IF(A142="","",IF(G142="Cancel","Cancelling",IF(AND(J142&lt;&gt;"",J142&lt;0),"Update renewal date",IF(OR(F142="Rarely",F142="Never"),"Low use - review",IF(AND(J142&lt;&gt;"",J142&lt;=14),"Renews soon","")))))</f>
        <v/>
      </c>
    </row>
    <row r="143">
      <c r="A143" s="13" t="n"/>
      <c r="B143" s="13" t="n"/>
      <c r="C143" s="14" t="n"/>
      <c r="D143" s="13" t="n"/>
      <c r="E143" s="15" t="n"/>
      <c r="F143" s="13" t="n"/>
      <c r="G143" s="13" t="n"/>
      <c r="H143" s="9">
        <f>IF(OR(C143="",D143=""),"",C143*VLOOKUP(D143,Lists!$A$4:$B$9,2,FALSE))</f>
        <v/>
      </c>
      <c r="I143" s="9">
        <f>IF(H143="","",H143*12)</f>
        <v/>
      </c>
      <c r="J143" s="8">
        <f>IF(E143="","",E143-TODAY())</f>
        <v/>
      </c>
      <c r="K143" s="11">
        <f>IF(A143="","",IF(G143="Cancel","Cancelling",IF(AND(J143&lt;&gt;"",J143&lt;0),"Update renewal date",IF(OR(F143="Rarely",F143="Never"),"Low use - review",IF(AND(J143&lt;&gt;"",J143&lt;=14),"Renews soon","")))))</f>
        <v/>
      </c>
    </row>
    <row r="144">
      <c r="A144" s="13" t="n"/>
      <c r="B144" s="13" t="n"/>
      <c r="C144" s="14" t="n"/>
      <c r="D144" s="13" t="n"/>
      <c r="E144" s="15" t="n"/>
      <c r="F144" s="13" t="n"/>
      <c r="G144" s="13" t="n"/>
      <c r="H144" s="9">
        <f>IF(OR(C144="",D144=""),"",C144*VLOOKUP(D144,Lists!$A$4:$B$9,2,FALSE))</f>
        <v/>
      </c>
      <c r="I144" s="9">
        <f>IF(H144="","",H144*12)</f>
        <v/>
      </c>
      <c r="J144" s="8">
        <f>IF(E144="","",E144-TODAY())</f>
        <v/>
      </c>
      <c r="K144" s="11">
        <f>IF(A144="","",IF(G144="Cancel","Cancelling",IF(AND(J144&lt;&gt;"",J144&lt;0),"Update renewal date",IF(OR(F144="Rarely",F144="Never"),"Low use - review",IF(AND(J144&lt;&gt;"",J144&lt;=14),"Renews soon","")))))</f>
        <v/>
      </c>
    </row>
    <row r="145">
      <c r="A145" s="13" t="n"/>
      <c r="B145" s="13" t="n"/>
      <c r="C145" s="14" t="n"/>
      <c r="D145" s="13" t="n"/>
      <c r="E145" s="15" t="n"/>
      <c r="F145" s="13" t="n"/>
      <c r="G145" s="13" t="n"/>
      <c r="H145" s="9">
        <f>IF(OR(C145="",D145=""),"",C145*VLOOKUP(D145,Lists!$A$4:$B$9,2,FALSE))</f>
        <v/>
      </c>
      <c r="I145" s="9">
        <f>IF(H145="","",H145*12)</f>
        <v/>
      </c>
      <c r="J145" s="8">
        <f>IF(E145="","",E145-TODAY())</f>
        <v/>
      </c>
      <c r="K145" s="11">
        <f>IF(A145="","",IF(G145="Cancel","Cancelling",IF(AND(J145&lt;&gt;"",J145&lt;0),"Update renewal date",IF(OR(F145="Rarely",F145="Never"),"Low use - review",IF(AND(J145&lt;&gt;"",J145&lt;=14),"Renews soon","")))))</f>
        <v/>
      </c>
    </row>
    <row r="146">
      <c r="A146" s="13" t="n"/>
      <c r="B146" s="13" t="n"/>
      <c r="C146" s="14" t="n"/>
      <c r="D146" s="13" t="n"/>
      <c r="E146" s="15" t="n"/>
      <c r="F146" s="13" t="n"/>
      <c r="G146" s="13" t="n"/>
      <c r="H146" s="9">
        <f>IF(OR(C146="",D146=""),"",C146*VLOOKUP(D146,Lists!$A$4:$B$9,2,FALSE))</f>
        <v/>
      </c>
      <c r="I146" s="9">
        <f>IF(H146="","",H146*12)</f>
        <v/>
      </c>
      <c r="J146" s="8">
        <f>IF(E146="","",E146-TODAY())</f>
        <v/>
      </c>
      <c r="K146" s="11">
        <f>IF(A146="","",IF(G146="Cancel","Cancelling",IF(AND(J146&lt;&gt;"",J146&lt;0),"Update renewal date",IF(OR(F146="Rarely",F146="Never"),"Low use - review",IF(AND(J146&lt;&gt;"",J146&lt;=14),"Renews soon","")))))</f>
        <v/>
      </c>
    </row>
    <row r="147">
      <c r="A147" s="13" t="n"/>
      <c r="B147" s="13" t="n"/>
      <c r="C147" s="14" t="n"/>
      <c r="D147" s="13" t="n"/>
      <c r="E147" s="15" t="n"/>
      <c r="F147" s="13" t="n"/>
      <c r="G147" s="13" t="n"/>
      <c r="H147" s="9">
        <f>IF(OR(C147="",D147=""),"",C147*VLOOKUP(D147,Lists!$A$4:$B$9,2,FALSE))</f>
        <v/>
      </c>
      <c r="I147" s="9">
        <f>IF(H147="","",H147*12)</f>
        <v/>
      </c>
      <c r="J147" s="8">
        <f>IF(E147="","",E147-TODAY())</f>
        <v/>
      </c>
      <c r="K147" s="11">
        <f>IF(A147="","",IF(G147="Cancel","Cancelling",IF(AND(J147&lt;&gt;"",J147&lt;0),"Update renewal date",IF(OR(F147="Rarely",F147="Never"),"Low use - review",IF(AND(J147&lt;&gt;"",J147&lt;=14),"Renews soon","")))))</f>
        <v/>
      </c>
    </row>
    <row r="148">
      <c r="A148" s="13" t="n"/>
      <c r="B148" s="13" t="n"/>
      <c r="C148" s="14" t="n"/>
      <c r="D148" s="13" t="n"/>
      <c r="E148" s="15" t="n"/>
      <c r="F148" s="13" t="n"/>
      <c r="G148" s="13" t="n"/>
      <c r="H148" s="9">
        <f>IF(OR(C148="",D148=""),"",C148*VLOOKUP(D148,Lists!$A$4:$B$9,2,FALSE))</f>
        <v/>
      </c>
      <c r="I148" s="9">
        <f>IF(H148="","",H148*12)</f>
        <v/>
      </c>
      <c r="J148" s="8">
        <f>IF(E148="","",E148-TODAY())</f>
        <v/>
      </c>
      <c r="K148" s="11">
        <f>IF(A148="","",IF(G148="Cancel","Cancelling",IF(AND(J148&lt;&gt;"",J148&lt;0),"Update renewal date",IF(OR(F148="Rarely",F148="Never"),"Low use - review",IF(AND(J148&lt;&gt;"",J148&lt;=14),"Renews soon","")))))</f>
        <v/>
      </c>
    </row>
    <row r="149">
      <c r="A149" s="13" t="n"/>
      <c r="B149" s="13" t="n"/>
      <c r="C149" s="14" t="n"/>
      <c r="D149" s="13" t="n"/>
      <c r="E149" s="15" t="n"/>
      <c r="F149" s="13" t="n"/>
      <c r="G149" s="13" t="n"/>
      <c r="H149" s="9">
        <f>IF(OR(C149="",D149=""),"",C149*VLOOKUP(D149,Lists!$A$4:$B$9,2,FALSE))</f>
        <v/>
      </c>
      <c r="I149" s="9">
        <f>IF(H149="","",H149*12)</f>
        <v/>
      </c>
      <c r="J149" s="8">
        <f>IF(E149="","",E149-TODAY())</f>
        <v/>
      </c>
      <c r="K149" s="11">
        <f>IF(A149="","",IF(G149="Cancel","Cancelling",IF(AND(J149&lt;&gt;"",J149&lt;0),"Update renewal date",IF(OR(F149="Rarely",F149="Never"),"Low use - review",IF(AND(J149&lt;&gt;"",J149&lt;=14),"Renews soon","")))))</f>
        <v/>
      </c>
    </row>
    <row r="150">
      <c r="A150" s="13" t="n"/>
      <c r="B150" s="13" t="n"/>
      <c r="C150" s="14" t="n"/>
      <c r="D150" s="13" t="n"/>
      <c r="E150" s="15" t="n"/>
      <c r="F150" s="13" t="n"/>
      <c r="G150" s="13" t="n"/>
      <c r="H150" s="9">
        <f>IF(OR(C150="",D150=""),"",C150*VLOOKUP(D150,Lists!$A$4:$B$9,2,FALSE))</f>
        <v/>
      </c>
      <c r="I150" s="9">
        <f>IF(H150="","",H150*12)</f>
        <v/>
      </c>
      <c r="J150" s="8">
        <f>IF(E150="","",E150-TODAY())</f>
        <v/>
      </c>
      <c r="K150" s="11">
        <f>IF(A150="","",IF(G150="Cancel","Cancelling",IF(AND(J150&lt;&gt;"",J150&lt;0),"Update renewal date",IF(OR(F150="Rarely",F150="Never"),"Low use - review",IF(AND(J150&lt;&gt;"",J150&lt;=14),"Renews soon","")))))</f>
        <v/>
      </c>
    </row>
    <row r="151">
      <c r="A151" s="13" t="n"/>
      <c r="B151" s="13" t="n"/>
      <c r="C151" s="14" t="n"/>
      <c r="D151" s="13" t="n"/>
      <c r="E151" s="15" t="n"/>
      <c r="F151" s="13" t="n"/>
      <c r="G151" s="13" t="n"/>
      <c r="H151" s="9">
        <f>IF(OR(C151="",D151=""),"",C151*VLOOKUP(D151,Lists!$A$4:$B$9,2,FALSE))</f>
        <v/>
      </c>
      <c r="I151" s="9">
        <f>IF(H151="","",H151*12)</f>
        <v/>
      </c>
      <c r="J151" s="8">
        <f>IF(E151="","",E151-TODAY())</f>
        <v/>
      </c>
      <c r="K151" s="11">
        <f>IF(A151="","",IF(G151="Cancel","Cancelling",IF(AND(J151&lt;&gt;"",J151&lt;0),"Update renewal date",IF(OR(F151="Rarely",F151="Never"),"Low use - review",IF(AND(J151&lt;&gt;"",J151&lt;=14),"Renews soon","")))))</f>
        <v/>
      </c>
    </row>
    <row r="152">
      <c r="A152" s="13" t="n"/>
      <c r="B152" s="13" t="n"/>
      <c r="C152" s="14" t="n"/>
      <c r="D152" s="13" t="n"/>
      <c r="E152" s="15" t="n"/>
      <c r="F152" s="13" t="n"/>
      <c r="G152" s="13" t="n"/>
      <c r="H152" s="9">
        <f>IF(OR(C152="",D152=""),"",C152*VLOOKUP(D152,Lists!$A$4:$B$9,2,FALSE))</f>
        <v/>
      </c>
      <c r="I152" s="9">
        <f>IF(H152="","",H152*12)</f>
        <v/>
      </c>
      <c r="J152" s="8">
        <f>IF(E152="","",E152-TODAY())</f>
        <v/>
      </c>
      <c r="K152" s="11">
        <f>IF(A152="","",IF(G152="Cancel","Cancelling",IF(AND(J152&lt;&gt;"",J152&lt;0),"Update renewal date",IF(OR(F152="Rarely",F152="Never"),"Low use - review",IF(AND(J152&lt;&gt;"",J152&lt;=14),"Renews soon","")))))</f>
        <v/>
      </c>
    </row>
    <row r="153">
      <c r="A153" s="13" t="n"/>
      <c r="B153" s="13" t="n"/>
      <c r="C153" s="14" t="n"/>
      <c r="D153" s="13" t="n"/>
      <c r="E153" s="15" t="n"/>
      <c r="F153" s="13" t="n"/>
      <c r="G153" s="13" t="n"/>
      <c r="H153" s="9">
        <f>IF(OR(C153="",D153=""),"",C153*VLOOKUP(D153,Lists!$A$4:$B$9,2,FALSE))</f>
        <v/>
      </c>
      <c r="I153" s="9">
        <f>IF(H153="","",H153*12)</f>
        <v/>
      </c>
      <c r="J153" s="8">
        <f>IF(E153="","",E153-TODAY())</f>
        <v/>
      </c>
      <c r="K153" s="11">
        <f>IF(A153="","",IF(G153="Cancel","Cancelling",IF(AND(J153&lt;&gt;"",J153&lt;0),"Update renewal date",IF(OR(F153="Rarely",F153="Never"),"Low use - review",IF(AND(J153&lt;&gt;"",J153&lt;=14),"Renews soon","")))))</f>
        <v/>
      </c>
    </row>
    <row r="154">
      <c r="A154" s="13" t="n"/>
      <c r="B154" s="13" t="n"/>
      <c r="C154" s="14" t="n"/>
      <c r="D154" s="13" t="n"/>
      <c r="E154" s="15" t="n"/>
      <c r="F154" s="13" t="n"/>
      <c r="G154" s="13" t="n"/>
      <c r="H154" s="9">
        <f>IF(OR(C154="",D154=""),"",C154*VLOOKUP(D154,Lists!$A$4:$B$9,2,FALSE))</f>
        <v/>
      </c>
      <c r="I154" s="9">
        <f>IF(H154="","",H154*12)</f>
        <v/>
      </c>
      <c r="J154" s="8">
        <f>IF(E154="","",E154-TODAY())</f>
        <v/>
      </c>
      <c r="K154" s="11">
        <f>IF(A154="","",IF(G154="Cancel","Cancelling",IF(AND(J154&lt;&gt;"",J154&lt;0),"Update renewal date",IF(OR(F154="Rarely",F154="Never"),"Low use - review",IF(AND(J154&lt;&gt;"",J154&lt;=14),"Renews soon","")))))</f>
        <v/>
      </c>
    </row>
    <row r="155">
      <c r="A155" s="13" t="n"/>
      <c r="B155" s="13" t="n"/>
      <c r="C155" s="14" t="n"/>
      <c r="D155" s="13" t="n"/>
      <c r="E155" s="15" t="n"/>
      <c r="F155" s="13" t="n"/>
      <c r="G155" s="13" t="n"/>
      <c r="H155" s="9">
        <f>IF(OR(C155="",D155=""),"",C155*VLOOKUP(D155,Lists!$A$4:$B$9,2,FALSE))</f>
        <v/>
      </c>
      <c r="I155" s="9">
        <f>IF(H155="","",H155*12)</f>
        <v/>
      </c>
      <c r="J155" s="8">
        <f>IF(E155="","",E155-TODAY())</f>
        <v/>
      </c>
      <c r="K155" s="11">
        <f>IF(A155="","",IF(G155="Cancel","Cancelling",IF(AND(J155&lt;&gt;"",J155&lt;0),"Update renewal date",IF(OR(F155="Rarely",F155="Never"),"Low use - review",IF(AND(J155&lt;&gt;"",J155&lt;=14),"Renews soon","")))))</f>
        <v/>
      </c>
    </row>
    <row r="156">
      <c r="A156" s="13" t="n"/>
      <c r="B156" s="13" t="n"/>
      <c r="C156" s="14" t="n"/>
      <c r="D156" s="13" t="n"/>
      <c r="E156" s="15" t="n"/>
      <c r="F156" s="13" t="n"/>
      <c r="G156" s="13" t="n"/>
      <c r="H156" s="9">
        <f>IF(OR(C156="",D156=""),"",C156*VLOOKUP(D156,Lists!$A$4:$B$9,2,FALSE))</f>
        <v/>
      </c>
      <c r="I156" s="9">
        <f>IF(H156="","",H156*12)</f>
        <v/>
      </c>
      <c r="J156" s="8">
        <f>IF(E156="","",E156-TODAY())</f>
        <v/>
      </c>
      <c r="K156" s="11">
        <f>IF(A156="","",IF(G156="Cancel","Cancelling",IF(AND(J156&lt;&gt;"",J156&lt;0),"Update renewal date",IF(OR(F156="Rarely",F156="Never"),"Low use - review",IF(AND(J156&lt;&gt;"",J156&lt;=14),"Renews soon","")))))</f>
        <v/>
      </c>
    </row>
    <row r="157">
      <c r="A157" s="13" t="n"/>
      <c r="B157" s="13" t="n"/>
      <c r="C157" s="14" t="n"/>
      <c r="D157" s="13" t="n"/>
      <c r="E157" s="15" t="n"/>
      <c r="F157" s="13" t="n"/>
      <c r="G157" s="13" t="n"/>
      <c r="H157" s="9">
        <f>IF(OR(C157="",D157=""),"",C157*VLOOKUP(D157,Lists!$A$4:$B$9,2,FALSE))</f>
        <v/>
      </c>
      <c r="I157" s="9">
        <f>IF(H157="","",H157*12)</f>
        <v/>
      </c>
      <c r="J157" s="8">
        <f>IF(E157="","",E157-TODAY())</f>
        <v/>
      </c>
      <c r="K157" s="11">
        <f>IF(A157="","",IF(G157="Cancel","Cancelling",IF(AND(J157&lt;&gt;"",J157&lt;0),"Update renewal date",IF(OR(F157="Rarely",F157="Never"),"Low use - review",IF(AND(J157&lt;&gt;"",J157&lt;=14),"Renews soon","")))))</f>
        <v/>
      </c>
    </row>
    <row r="158">
      <c r="A158" s="13" t="n"/>
      <c r="B158" s="13" t="n"/>
      <c r="C158" s="14" t="n"/>
      <c r="D158" s="13" t="n"/>
      <c r="E158" s="15" t="n"/>
      <c r="F158" s="13" t="n"/>
      <c r="G158" s="13" t="n"/>
      <c r="H158" s="9">
        <f>IF(OR(C158="",D158=""),"",C158*VLOOKUP(D158,Lists!$A$4:$B$9,2,FALSE))</f>
        <v/>
      </c>
      <c r="I158" s="9">
        <f>IF(H158="","",H158*12)</f>
        <v/>
      </c>
      <c r="J158" s="8">
        <f>IF(E158="","",E158-TODAY())</f>
        <v/>
      </c>
      <c r="K158" s="11">
        <f>IF(A158="","",IF(G158="Cancel","Cancelling",IF(AND(J158&lt;&gt;"",J158&lt;0),"Update renewal date",IF(OR(F158="Rarely",F158="Never"),"Low use - review",IF(AND(J158&lt;&gt;"",J158&lt;=14),"Renews soon","")))))</f>
        <v/>
      </c>
    </row>
    <row r="159">
      <c r="A159" s="13" t="n"/>
      <c r="B159" s="13" t="n"/>
      <c r="C159" s="14" t="n"/>
      <c r="D159" s="13" t="n"/>
      <c r="E159" s="15" t="n"/>
      <c r="F159" s="13" t="n"/>
      <c r="G159" s="13" t="n"/>
      <c r="H159" s="9">
        <f>IF(OR(C159="",D159=""),"",C159*VLOOKUP(D159,Lists!$A$4:$B$9,2,FALSE))</f>
        <v/>
      </c>
      <c r="I159" s="9">
        <f>IF(H159="","",H159*12)</f>
        <v/>
      </c>
      <c r="J159" s="8">
        <f>IF(E159="","",E159-TODAY())</f>
        <v/>
      </c>
      <c r="K159" s="11">
        <f>IF(A159="","",IF(G159="Cancel","Cancelling",IF(AND(J159&lt;&gt;"",J159&lt;0),"Update renewal date",IF(OR(F159="Rarely",F159="Never"),"Low use - review",IF(AND(J159&lt;&gt;"",J159&lt;=14),"Renews soon","")))))</f>
        <v/>
      </c>
    </row>
    <row r="160">
      <c r="A160" s="13" t="n"/>
      <c r="B160" s="13" t="n"/>
      <c r="C160" s="14" t="n"/>
      <c r="D160" s="13" t="n"/>
      <c r="E160" s="15" t="n"/>
      <c r="F160" s="13" t="n"/>
      <c r="G160" s="13" t="n"/>
      <c r="H160" s="9">
        <f>IF(OR(C160="",D160=""),"",C160*VLOOKUP(D160,Lists!$A$4:$B$9,2,FALSE))</f>
        <v/>
      </c>
      <c r="I160" s="9">
        <f>IF(H160="","",H160*12)</f>
        <v/>
      </c>
      <c r="J160" s="8">
        <f>IF(E160="","",E160-TODAY())</f>
        <v/>
      </c>
      <c r="K160" s="11">
        <f>IF(A160="","",IF(G160="Cancel","Cancelling",IF(AND(J160&lt;&gt;"",J160&lt;0),"Update renewal date",IF(OR(F160="Rarely",F160="Never"),"Low use - review",IF(AND(J160&lt;&gt;"",J160&lt;=14),"Renews soon","")))))</f>
        <v/>
      </c>
    </row>
    <row r="161">
      <c r="A161" s="13" t="n"/>
      <c r="B161" s="13" t="n"/>
      <c r="C161" s="14" t="n"/>
      <c r="D161" s="13" t="n"/>
      <c r="E161" s="15" t="n"/>
      <c r="F161" s="13" t="n"/>
      <c r="G161" s="13" t="n"/>
      <c r="H161" s="9">
        <f>IF(OR(C161="",D161=""),"",C161*VLOOKUP(D161,Lists!$A$4:$B$9,2,FALSE))</f>
        <v/>
      </c>
      <c r="I161" s="9">
        <f>IF(H161="","",H161*12)</f>
        <v/>
      </c>
      <c r="J161" s="8">
        <f>IF(E161="","",E161-TODAY())</f>
        <v/>
      </c>
      <c r="K161" s="11">
        <f>IF(A161="","",IF(G161="Cancel","Cancelling",IF(AND(J161&lt;&gt;"",J161&lt;0),"Update renewal date",IF(OR(F161="Rarely",F161="Never"),"Low use - review",IF(AND(J161&lt;&gt;"",J161&lt;=14),"Renews soon","")))))</f>
        <v/>
      </c>
    </row>
    <row r="162">
      <c r="A162" s="13" t="n"/>
      <c r="B162" s="13" t="n"/>
      <c r="C162" s="14" t="n"/>
      <c r="D162" s="13" t="n"/>
      <c r="E162" s="15" t="n"/>
      <c r="F162" s="13" t="n"/>
      <c r="G162" s="13" t="n"/>
      <c r="H162" s="9">
        <f>IF(OR(C162="",D162=""),"",C162*VLOOKUP(D162,Lists!$A$4:$B$9,2,FALSE))</f>
        <v/>
      </c>
      <c r="I162" s="9">
        <f>IF(H162="","",H162*12)</f>
        <v/>
      </c>
      <c r="J162" s="8">
        <f>IF(E162="","",E162-TODAY())</f>
        <v/>
      </c>
      <c r="K162" s="11">
        <f>IF(A162="","",IF(G162="Cancel","Cancelling",IF(AND(J162&lt;&gt;"",J162&lt;0),"Update renewal date",IF(OR(F162="Rarely",F162="Never"),"Low use - review",IF(AND(J162&lt;&gt;"",J162&lt;=14),"Renews soon","")))))</f>
        <v/>
      </c>
    </row>
    <row r="163">
      <c r="A163" s="13" t="n"/>
      <c r="B163" s="13" t="n"/>
      <c r="C163" s="14" t="n"/>
      <c r="D163" s="13" t="n"/>
      <c r="E163" s="15" t="n"/>
      <c r="F163" s="13" t="n"/>
      <c r="G163" s="13" t="n"/>
      <c r="H163" s="9">
        <f>IF(OR(C163="",D163=""),"",C163*VLOOKUP(D163,Lists!$A$4:$B$9,2,FALSE))</f>
        <v/>
      </c>
      <c r="I163" s="9">
        <f>IF(H163="","",H163*12)</f>
        <v/>
      </c>
      <c r="J163" s="8">
        <f>IF(E163="","",E163-TODAY())</f>
        <v/>
      </c>
      <c r="K163" s="11">
        <f>IF(A163="","",IF(G163="Cancel","Cancelling",IF(AND(J163&lt;&gt;"",J163&lt;0),"Update renewal date",IF(OR(F163="Rarely",F163="Never"),"Low use - review",IF(AND(J163&lt;&gt;"",J163&lt;=14),"Renews soon","")))))</f>
        <v/>
      </c>
    </row>
    <row r="164">
      <c r="A164" s="13" t="n"/>
      <c r="B164" s="13" t="n"/>
      <c r="C164" s="14" t="n"/>
      <c r="D164" s="13" t="n"/>
      <c r="E164" s="15" t="n"/>
      <c r="F164" s="13" t="n"/>
      <c r="G164" s="13" t="n"/>
      <c r="H164" s="9">
        <f>IF(OR(C164="",D164=""),"",C164*VLOOKUP(D164,Lists!$A$4:$B$9,2,FALSE))</f>
        <v/>
      </c>
      <c r="I164" s="9">
        <f>IF(H164="","",H164*12)</f>
        <v/>
      </c>
      <c r="J164" s="8">
        <f>IF(E164="","",E164-TODAY())</f>
        <v/>
      </c>
      <c r="K164" s="11">
        <f>IF(A164="","",IF(G164="Cancel","Cancelling",IF(AND(J164&lt;&gt;"",J164&lt;0),"Update renewal date",IF(OR(F164="Rarely",F164="Never"),"Low use - review",IF(AND(J164&lt;&gt;"",J164&lt;=14),"Renews soon","")))))</f>
        <v/>
      </c>
    </row>
    <row r="165">
      <c r="A165" s="13" t="n"/>
      <c r="B165" s="13" t="n"/>
      <c r="C165" s="14" t="n"/>
      <c r="D165" s="13" t="n"/>
      <c r="E165" s="15" t="n"/>
      <c r="F165" s="13" t="n"/>
      <c r="G165" s="13" t="n"/>
      <c r="H165" s="9">
        <f>IF(OR(C165="",D165=""),"",C165*VLOOKUP(D165,Lists!$A$4:$B$9,2,FALSE))</f>
        <v/>
      </c>
      <c r="I165" s="9">
        <f>IF(H165="","",H165*12)</f>
        <v/>
      </c>
      <c r="J165" s="8">
        <f>IF(E165="","",E165-TODAY())</f>
        <v/>
      </c>
      <c r="K165" s="11">
        <f>IF(A165="","",IF(G165="Cancel","Cancelling",IF(AND(J165&lt;&gt;"",J165&lt;0),"Update renewal date",IF(OR(F165="Rarely",F165="Never"),"Low use - review",IF(AND(J165&lt;&gt;"",J165&lt;=14),"Renews soon","")))))</f>
        <v/>
      </c>
    </row>
    <row r="166">
      <c r="A166" s="13" t="n"/>
      <c r="B166" s="13" t="n"/>
      <c r="C166" s="14" t="n"/>
      <c r="D166" s="13" t="n"/>
      <c r="E166" s="15" t="n"/>
      <c r="F166" s="13" t="n"/>
      <c r="G166" s="13" t="n"/>
      <c r="H166" s="9">
        <f>IF(OR(C166="",D166=""),"",C166*VLOOKUP(D166,Lists!$A$4:$B$9,2,FALSE))</f>
        <v/>
      </c>
      <c r="I166" s="9">
        <f>IF(H166="","",H166*12)</f>
        <v/>
      </c>
      <c r="J166" s="8">
        <f>IF(E166="","",E166-TODAY())</f>
        <v/>
      </c>
      <c r="K166" s="11">
        <f>IF(A166="","",IF(G166="Cancel","Cancelling",IF(AND(J166&lt;&gt;"",J166&lt;0),"Update renewal date",IF(OR(F166="Rarely",F166="Never"),"Low use - review",IF(AND(J166&lt;&gt;"",J166&lt;=14),"Renews soon","")))))</f>
        <v/>
      </c>
    </row>
    <row r="167">
      <c r="A167" s="13" t="n"/>
      <c r="B167" s="13" t="n"/>
      <c r="C167" s="14" t="n"/>
      <c r="D167" s="13" t="n"/>
      <c r="E167" s="15" t="n"/>
      <c r="F167" s="13" t="n"/>
      <c r="G167" s="13" t="n"/>
      <c r="H167" s="9">
        <f>IF(OR(C167="",D167=""),"",C167*VLOOKUP(D167,Lists!$A$4:$B$9,2,FALSE))</f>
        <v/>
      </c>
      <c r="I167" s="9">
        <f>IF(H167="","",H167*12)</f>
        <v/>
      </c>
      <c r="J167" s="8">
        <f>IF(E167="","",E167-TODAY())</f>
        <v/>
      </c>
      <c r="K167" s="11">
        <f>IF(A167="","",IF(G167="Cancel","Cancelling",IF(AND(J167&lt;&gt;"",J167&lt;0),"Update renewal date",IF(OR(F167="Rarely",F167="Never"),"Low use - review",IF(AND(J167&lt;&gt;"",J167&lt;=14),"Renews soon","")))))</f>
        <v/>
      </c>
    </row>
    <row r="168">
      <c r="A168" s="13" t="n"/>
      <c r="B168" s="13" t="n"/>
      <c r="C168" s="14" t="n"/>
      <c r="D168" s="13" t="n"/>
      <c r="E168" s="15" t="n"/>
      <c r="F168" s="13" t="n"/>
      <c r="G168" s="13" t="n"/>
      <c r="H168" s="9">
        <f>IF(OR(C168="",D168=""),"",C168*VLOOKUP(D168,Lists!$A$4:$B$9,2,FALSE))</f>
        <v/>
      </c>
      <c r="I168" s="9">
        <f>IF(H168="","",H168*12)</f>
        <v/>
      </c>
      <c r="J168" s="8">
        <f>IF(E168="","",E168-TODAY())</f>
        <v/>
      </c>
      <c r="K168" s="11">
        <f>IF(A168="","",IF(G168="Cancel","Cancelling",IF(AND(J168&lt;&gt;"",J168&lt;0),"Update renewal date",IF(OR(F168="Rarely",F168="Never"),"Low use - review",IF(AND(J168&lt;&gt;"",J168&lt;=14),"Renews soon","")))))</f>
        <v/>
      </c>
    </row>
    <row r="169">
      <c r="A169" s="13" t="n"/>
      <c r="B169" s="13" t="n"/>
      <c r="C169" s="14" t="n"/>
      <c r="D169" s="13" t="n"/>
      <c r="E169" s="15" t="n"/>
      <c r="F169" s="13" t="n"/>
      <c r="G169" s="13" t="n"/>
      <c r="H169" s="9">
        <f>IF(OR(C169="",D169=""),"",C169*VLOOKUP(D169,Lists!$A$4:$B$9,2,FALSE))</f>
        <v/>
      </c>
      <c r="I169" s="9">
        <f>IF(H169="","",H169*12)</f>
        <v/>
      </c>
      <c r="J169" s="8">
        <f>IF(E169="","",E169-TODAY())</f>
        <v/>
      </c>
      <c r="K169" s="11">
        <f>IF(A169="","",IF(G169="Cancel","Cancelling",IF(AND(J169&lt;&gt;"",J169&lt;0),"Update renewal date",IF(OR(F169="Rarely",F169="Never"),"Low use - review",IF(AND(J169&lt;&gt;"",J169&lt;=14),"Renews soon","")))))</f>
        <v/>
      </c>
    </row>
    <row r="170">
      <c r="A170" s="13" t="n"/>
      <c r="B170" s="13" t="n"/>
      <c r="C170" s="14" t="n"/>
      <c r="D170" s="13" t="n"/>
      <c r="E170" s="15" t="n"/>
      <c r="F170" s="13" t="n"/>
      <c r="G170" s="13" t="n"/>
      <c r="H170" s="9">
        <f>IF(OR(C170="",D170=""),"",C170*VLOOKUP(D170,Lists!$A$4:$B$9,2,FALSE))</f>
        <v/>
      </c>
      <c r="I170" s="9">
        <f>IF(H170="","",H170*12)</f>
        <v/>
      </c>
      <c r="J170" s="8">
        <f>IF(E170="","",E170-TODAY())</f>
        <v/>
      </c>
      <c r="K170" s="11">
        <f>IF(A170="","",IF(G170="Cancel","Cancelling",IF(AND(J170&lt;&gt;"",J170&lt;0),"Update renewal date",IF(OR(F170="Rarely",F170="Never"),"Low use - review",IF(AND(J170&lt;&gt;"",J170&lt;=14),"Renews soon","")))))</f>
        <v/>
      </c>
    </row>
    <row r="171">
      <c r="A171" s="13" t="n"/>
      <c r="B171" s="13" t="n"/>
      <c r="C171" s="14" t="n"/>
      <c r="D171" s="13" t="n"/>
      <c r="E171" s="15" t="n"/>
      <c r="F171" s="13" t="n"/>
      <c r="G171" s="13" t="n"/>
      <c r="H171" s="9">
        <f>IF(OR(C171="",D171=""),"",C171*VLOOKUP(D171,Lists!$A$4:$B$9,2,FALSE))</f>
        <v/>
      </c>
      <c r="I171" s="9">
        <f>IF(H171="","",H171*12)</f>
        <v/>
      </c>
      <c r="J171" s="8">
        <f>IF(E171="","",E171-TODAY())</f>
        <v/>
      </c>
      <c r="K171" s="11">
        <f>IF(A171="","",IF(G171="Cancel","Cancelling",IF(AND(J171&lt;&gt;"",J171&lt;0),"Update renewal date",IF(OR(F171="Rarely",F171="Never"),"Low use - review",IF(AND(J171&lt;&gt;"",J171&lt;=14),"Renews soon","")))))</f>
        <v/>
      </c>
    </row>
    <row r="172">
      <c r="A172" s="13" t="n"/>
      <c r="B172" s="13" t="n"/>
      <c r="C172" s="14" t="n"/>
      <c r="D172" s="13" t="n"/>
      <c r="E172" s="15" t="n"/>
      <c r="F172" s="13" t="n"/>
      <c r="G172" s="13" t="n"/>
      <c r="H172" s="9">
        <f>IF(OR(C172="",D172=""),"",C172*VLOOKUP(D172,Lists!$A$4:$B$9,2,FALSE))</f>
        <v/>
      </c>
      <c r="I172" s="9">
        <f>IF(H172="","",H172*12)</f>
        <v/>
      </c>
      <c r="J172" s="8">
        <f>IF(E172="","",E172-TODAY())</f>
        <v/>
      </c>
      <c r="K172" s="11">
        <f>IF(A172="","",IF(G172="Cancel","Cancelling",IF(AND(J172&lt;&gt;"",J172&lt;0),"Update renewal date",IF(OR(F172="Rarely",F172="Never"),"Low use - review",IF(AND(J172&lt;&gt;"",J172&lt;=14),"Renews soon","")))))</f>
        <v/>
      </c>
    </row>
    <row r="173">
      <c r="A173" s="13" t="n"/>
      <c r="B173" s="13" t="n"/>
      <c r="C173" s="14" t="n"/>
      <c r="D173" s="13" t="n"/>
      <c r="E173" s="15" t="n"/>
      <c r="F173" s="13" t="n"/>
      <c r="G173" s="13" t="n"/>
      <c r="H173" s="9">
        <f>IF(OR(C173="",D173=""),"",C173*VLOOKUP(D173,Lists!$A$4:$B$9,2,FALSE))</f>
        <v/>
      </c>
      <c r="I173" s="9">
        <f>IF(H173="","",H173*12)</f>
        <v/>
      </c>
      <c r="J173" s="8">
        <f>IF(E173="","",E173-TODAY())</f>
        <v/>
      </c>
      <c r="K173" s="11">
        <f>IF(A173="","",IF(G173="Cancel","Cancelling",IF(AND(J173&lt;&gt;"",J173&lt;0),"Update renewal date",IF(OR(F173="Rarely",F173="Never"),"Low use - review",IF(AND(J173&lt;&gt;"",J173&lt;=14),"Renews soon","")))))</f>
        <v/>
      </c>
    </row>
    <row r="174">
      <c r="A174" s="13" t="n"/>
      <c r="B174" s="13" t="n"/>
      <c r="C174" s="14" t="n"/>
      <c r="D174" s="13" t="n"/>
      <c r="E174" s="15" t="n"/>
      <c r="F174" s="13" t="n"/>
      <c r="G174" s="13" t="n"/>
      <c r="H174" s="9">
        <f>IF(OR(C174="",D174=""),"",C174*VLOOKUP(D174,Lists!$A$4:$B$9,2,FALSE))</f>
        <v/>
      </c>
      <c r="I174" s="9">
        <f>IF(H174="","",H174*12)</f>
        <v/>
      </c>
      <c r="J174" s="8">
        <f>IF(E174="","",E174-TODAY())</f>
        <v/>
      </c>
      <c r="K174" s="11">
        <f>IF(A174="","",IF(G174="Cancel","Cancelling",IF(AND(J174&lt;&gt;"",J174&lt;0),"Update renewal date",IF(OR(F174="Rarely",F174="Never"),"Low use - review",IF(AND(J174&lt;&gt;"",J174&lt;=14),"Renews soon","")))))</f>
        <v/>
      </c>
    </row>
    <row r="175">
      <c r="A175" s="13" t="n"/>
      <c r="B175" s="13" t="n"/>
      <c r="C175" s="14" t="n"/>
      <c r="D175" s="13" t="n"/>
      <c r="E175" s="15" t="n"/>
      <c r="F175" s="13" t="n"/>
      <c r="G175" s="13" t="n"/>
      <c r="H175" s="9">
        <f>IF(OR(C175="",D175=""),"",C175*VLOOKUP(D175,Lists!$A$4:$B$9,2,FALSE))</f>
        <v/>
      </c>
      <c r="I175" s="9">
        <f>IF(H175="","",H175*12)</f>
        <v/>
      </c>
      <c r="J175" s="8">
        <f>IF(E175="","",E175-TODAY())</f>
        <v/>
      </c>
      <c r="K175" s="11">
        <f>IF(A175="","",IF(G175="Cancel","Cancelling",IF(AND(J175&lt;&gt;"",J175&lt;0),"Update renewal date",IF(OR(F175="Rarely",F175="Never"),"Low use - review",IF(AND(J175&lt;&gt;"",J175&lt;=14),"Renews soon","")))))</f>
        <v/>
      </c>
    </row>
    <row r="176">
      <c r="A176" s="13" t="n"/>
      <c r="B176" s="13" t="n"/>
      <c r="C176" s="14" t="n"/>
      <c r="D176" s="13" t="n"/>
      <c r="E176" s="15" t="n"/>
      <c r="F176" s="13" t="n"/>
      <c r="G176" s="13" t="n"/>
      <c r="H176" s="9">
        <f>IF(OR(C176="",D176=""),"",C176*VLOOKUP(D176,Lists!$A$4:$B$9,2,FALSE))</f>
        <v/>
      </c>
      <c r="I176" s="9">
        <f>IF(H176="","",H176*12)</f>
        <v/>
      </c>
      <c r="J176" s="8">
        <f>IF(E176="","",E176-TODAY())</f>
        <v/>
      </c>
      <c r="K176" s="11">
        <f>IF(A176="","",IF(G176="Cancel","Cancelling",IF(AND(J176&lt;&gt;"",J176&lt;0),"Update renewal date",IF(OR(F176="Rarely",F176="Never"),"Low use - review",IF(AND(J176&lt;&gt;"",J176&lt;=14),"Renews soon","")))))</f>
        <v/>
      </c>
    </row>
    <row r="177">
      <c r="A177" s="13" t="n"/>
      <c r="B177" s="13" t="n"/>
      <c r="C177" s="14" t="n"/>
      <c r="D177" s="13" t="n"/>
      <c r="E177" s="15" t="n"/>
      <c r="F177" s="13" t="n"/>
      <c r="G177" s="13" t="n"/>
      <c r="H177" s="9">
        <f>IF(OR(C177="",D177=""),"",C177*VLOOKUP(D177,Lists!$A$4:$B$9,2,FALSE))</f>
        <v/>
      </c>
      <c r="I177" s="9">
        <f>IF(H177="","",H177*12)</f>
        <v/>
      </c>
      <c r="J177" s="8">
        <f>IF(E177="","",E177-TODAY())</f>
        <v/>
      </c>
      <c r="K177" s="11">
        <f>IF(A177="","",IF(G177="Cancel","Cancelling",IF(AND(J177&lt;&gt;"",J177&lt;0),"Update renewal date",IF(OR(F177="Rarely",F177="Never"),"Low use - review",IF(AND(J177&lt;&gt;"",J177&lt;=14),"Renews soon","")))))</f>
        <v/>
      </c>
    </row>
    <row r="178">
      <c r="A178" s="13" t="n"/>
      <c r="B178" s="13" t="n"/>
      <c r="C178" s="14" t="n"/>
      <c r="D178" s="13" t="n"/>
      <c r="E178" s="15" t="n"/>
      <c r="F178" s="13" t="n"/>
      <c r="G178" s="13" t="n"/>
      <c r="H178" s="9">
        <f>IF(OR(C178="",D178=""),"",C178*VLOOKUP(D178,Lists!$A$4:$B$9,2,FALSE))</f>
        <v/>
      </c>
      <c r="I178" s="9">
        <f>IF(H178="","",H178*12)</f>
        <v/>
      </c>
      <c r="J178" s="8">
        <f>IF(E178="","",E178-TODAY())</f>
        <v/>
      </c>
      <c r="K178" s="11">
        <f>IF(A178="","",IF(G178="Cancel","Cancelling",IF(AND(J178&lt;&gt;"",J178&lt;0),"Update renewal date",IF(OR(F178="Rarely",F178="Never"),"Low use - review",IF(AND(J178&lt;&gt;"",J178&lt;=14),"Renews soon","")))))</f>
        <v/>
      </c>
    </row>
    <row r="179">
      <c r="A179" s="13" t="n"/>
      <c r="B179" s="13" t="n"/>
      <c r="C179" s="14" t="n"/>
      <c r="D179" s="13" t="n"/>
      <c r="E179" s="15" t="n"/>
      <c r="F179" s="13" t="n"/>
      <c r="G179" s="13" t="n"/>
      <c r="H179" s="9">
        <f>IF(OR(C179="",D179=""),"",C179*VLOOKUP(D179,Lists!$A$4:$B$9,2,FALSE))</f>
        <v/>
      </c>
      <c r="I179" s="9">
        <f>IF(H179="","",H179*12)</f>
        <v/>
      </c>
      <c r="J179" s="8">
        <f>IF(E179="","",E179-TODAY())</f>
        <v/>
      </c>
      <c r="K179" s="11">
        <f>IF(A179="","",IF(G179="Cancel","Cancelling",IF(AND(J179&lt;&gt;"",J179&lt;0),"Update renewal date",IF(OR(F179="Rarely",F179="Never"),"Low use - review",IF(AND(J179&lt;&gt;"",J179&lt;=14),"Renews soon","")))))</f>
        <v/>
      </c>
    </row>
    <row r="180">
      <c r="A180" s="13" t="n"/>
      <c r="B180" s="13" t="n"/>
      <c r="C180" s="14" t="n"/>
      <c r="D180" s="13" t="n"/>
      <c r="E180" s="15" t="n"/>
      <c r="F180" s="13" t="n"/>
      <c r="G180" s="13" t="n"/>
      <c r="H180" s="9">
        <f>IF(OR(C180="",D180=""),"",C180*VLOOKUP(D180,Lists!$A$4:$B$9,2,FALSE))</f>
        <v/>
      </c>
      <c r="I180" s="9">
        <f>IF(H180="","",H180*12)</f>
        <v/>
      </c>
      <c r="J180" s="8">
        <f>IF(E180="","",E180-TODAY())</f>
        <v/>
      </c>
      <c r="K180" s="11">
        <f>IF(A180="","",IF(G180="Cancel","Cancelling",IF(AND(J180&lt;&gt;"",J180&lt;0),"Update renewal date",IF(OR(F180="Rarely",F180="Never"),"Low use - review",IF(AND(J180&lt;&gt;"",J180&lt;=14),"Renews soon","")))))</f>
        <v/>
      </c>
    </row>
    <row r="181">
      <c r="A181" s="13" t="n"/>
      <c r="B181" s="13" t="n"/>
      <c r="C181" s="14" t="n"/>
      <c r="D181" s="13" t="n"/>
      <c r="E181" s="15" t="n"/>
      <c r="F181" s="13" t="n"/>
      <c r="G181" s="13" t="n"/>
      <c r="H181" s="9">
        <f>IF(OR(C181="",D181=""),"",C181*VLOOKUP(D181,Lists!$A$4:$B$9,2,FALSE))</f>
        <v/>
      </c>
      <c r="I181" s="9">
        <f>IF(H181="","",H181*12)</f>
        <v/>
      </c>
      <c r="J181" s="8">
        <f>IF(E181="","",E181-TODAY())</f>
        <v/>
      </c>
      <c r="K181" s="11">
        <f>IF(A181="","",IF(G181="Cancel","Cancelling",IF(AND(J181&lt;&gt;"",J181&lt;0),"Update renewal date",IF(OR(F181="Rarely",F181="Never"),"Low use - review",IF(AND(J181&lt;&gt;"",J181&lt;=14),"Renews soon","")))))</f>
        <v/>
      </c>
    </row>
    <row r="182">
      <c r="A182" s="13" t="n"/>
      <c r="B182" s="13" t="n"/>
      <c r="C182" s="14" t="n"/>
      <c r="D182" s="13" t="n"/>
      <c r="E182" s="15" t="n"/>
      <c r="F182" s="13" t="n"/>
      <c r="G182" s="13" t="n"/>
      <c r="H182" s="9">
        <f>IF(OR(C182="",D182=""),"",C182*VLOOKUP(D182,Lists!$A$4:$B$9,2,FALSE))</f>
        <v/>
      </c>
      <c r="I182" s="9">
        <f>IF(H182="","",H182*12)</f>
        <v/>
      </c>
      <c r="J182" s="8">
        <f>IF(E182="","",E182-TODAY())</f>
        <v/>
      </c>
      <c r="K182" s="11">
        <f>IF(A182="","",IF(G182="Cancel","Cancelling",IF(AND(J182&lt;&gt;"",J182&lt;0),"Update renewal date",IF(OR(F182="Rarely",F182="Never"),"Low use - review",IF(AND(J182&lt;&gt;"",J182&lt;=14),"Renews soon","")))))</f>
        <v/>
      </c>
    </row>
    <row r="183">
      <c r="A183" s="13" t="n"/>
      <c r="B183" s="13" t="n"/>
      <c r="C183" s="14" t="n"/>
      <c r="D183" s="13" t="n"/>
      <c r="E183" s="15" t="n"/>
      <c r="F183" s="13" t="n"/>
      <c r="G183" s="13" t="n"/>
      <c r="H183" s="9">
        <f>IF(OR(C183="",D183=""),"",C183*VLOOKUP(D183,Lists!$A$4:$B$9,2,FALSE))</f>
        <v/>
      </c>
      <c r="I183" s="9">
        <f>IF(H183="","",H183*12)</f>
        <v/>
      </c>
      <c r="J183" s="8">
        <f>IF(E183="","",E183-TODAY())</f>
        <v/>
      </c>
      <c r="K183" s="11">
        <f>IF(A183="","",IF(G183="Cancel","Cancelling",IF(AND(J183&lt;&gt;"",J183&lt;0),"Update renewal date",IF(OR(F183="Rarely",F183="Never"),"Low use - review",IF(AND(J183&lt;&gt;"",J183&lt;=14),"Renews soon","")))))</f>
        <v/>
      </c>
    </row>
    <row r="184">
      <c r="A184" s="13" t="n"/>
      <c r="B184" s="13" t="n"/>
      <c r="C184" s="14" t="n"/>
      <c r="D184" s="13" t="n"/>
      <c r="E184" s="15" t="n"/>
      <c r="F184" s="13" t="n"/>
      <c r="G184" s="13" t="n"/>
      <c r="H184" s="9">
        <f>IF(OR(C184="",D184=""),"",C184*VLOOKUP(D184,Lists!$A$4:$B$9,2,FALSE))</f>
        <v/>
      </c>
      <c r="I184" s="9">
        <f>IF(H184="","",H184*12)</f>
        <v/>
      </c>
      <c r="J184" s="8">
        <f>IF(E184="","",E184-TODAY())</f>
        <v/>
      </c>
      <c r="K184" s="11">
        <f>IF(A184="","",IF(G184="Cancel","Cancelling",IF(AND(J184&lt;&gt;"",J184&lt;0),"Update renewal date",IF(OR(F184="Rarely",F184="Never"),"Low use - review",IF(AND(J184&lt;&gt;"",J184&lt;=14),"Renews soon","")))))</f>
        <v/>
      </c>
    </row>
    <row r="185">
      <c r="A185" s="13" t="n"/>
      <c r="B185" s="13" t="n"/>
      <c r="C185" s="14" t="n"/>
      <c r="D185" s="13" t="n"/>
      <c r="E185" s="15" t="n"/>
      <c r="F185" s="13" t="n"/>
      <c r="G185" s="13" t="n"/>
      <c r="H185" s="9">
        <f>IF(OR(C185="",D185=""),"",C185*VLOOKUP(D185,Lists!$A$4:$B$9,2,FALSE))</f>
        <v/>
      </c>
      <c r="I185" s="9">
        <f>IF(H185="","",H185*12)</f>
        <v/>
      </c>
      <c r="J185" s="8">
        <f>IF(E185="","",E185-TODAY())</f>
        <v/>
      </c>
      <c r="K185" s="11">
        <f>IF(A185="","",IF(G185="Cancel","Cancelling",IF(AND(J185&lt;&gt;"",J185&lt;0),"Update renewal date",IF(OR(F185="Rarely",F185="Never"),"Low use - review",IF(AND(J185&lt;&gt;"",J185&lt;=14),"Renews soon","")))))</f>
        <v/>
      </c>
    </row>
    <row r="186">
      <c r="A186" s="13" t="n"/>
      <c r="B186" s="13" t="n"/>
      <c r="C186" s="14" t="n"/>
      <c r="D186" s="13" t="n"/>
      <c r="E186" s="15" t="n"/>
      <c r="F186" s="13" t="n"/>
      <c r="G186" s="13" t="n"/>
      <c r="H186" s="9">
        <f>IF(OR(C186="",D186=""),"",C186*VLOOKUP(D186,Lists!$A$4:$B$9,2,FALSE))</f>
        <v/>
      </c>
      <c r="I186" s="9">
        <f>IF(H186="","",H186*12)</f>
        <v/>
      </c>
      <c r="J186" s="8">
        <f>IF(E186="","",E186-TODAY())</f>
        <v/>
      </c>
      <c r="K186" s="11">
        <f>IF(A186="","",IF(G186="Cancel","Cancelling",IF(AND(J186&lt;&gt;"",J186&lt;0),"Update renewal date",IF(OR(F186="Rarely",F186="Never"),"Low use - review",IF(AND(J186&lt;&gt;"",J186&lt;=14),"Renews soon","")))))</f>
        <v/>
      </c>
    </row>
    <row r="187">
      <c r="A187" s="13" t="n"/>
      <c r="B187" s="13" t="n"/>
      <c r="C187" s="14" t="n"/>
      <c r="D187" s="13" t="n"/>
      <c r="E187" s="15" t="n"/>
      <c r="F187" s="13" t="n"/>
      <c r="G187" s="13" t="n"/>
      <c r="H187" s="9">
        <f>IF(OR(C187="",D187=""),"",C187*VLOOKUP(D187,Lists!$A$4:$B$9,2,FALSE))</f>
        <v/>
      </c>
      <c r="I187" s="9">
        <f>IF(H187="","",H187*12)</f>
        <v/>
      </c>
      <c r="J187" s="8">
        <f>IF(E187="","",E187-TODAY())</f>
        <v/>
      </c>
      <c r="K187" s="11">
        <f>IF(A187="","",IF(G187="Cancel","Cancelling",IF(AND(J187&lt;&gt;"",J187&lt;0),"Update renewal date",IF(OR(F187="Rarely",F187="Never"),"Low use - review",IF(AND(J187&lt;&gt;"",J187&lt;=14),"Renews soon","")))))</f>
        <v/>
      </c>
    </row>
    <row r="188">
      <c r="A188" s="13" t="n"/>
      <c r="B188" s="13" t="n"/>
      <c r="C188" s="14" t="n"/>
      <c r="D188" s="13" t="n"/>
      <c r="E188" s="15" t="n"/>
      <c r="F188" s="13" t="n"/>
      <c r="G188" s="13" t="n"/>
      <c r="H188" s="9">
        <f>IF(OR(C188="",D188=""),"",C188*VLOOKUP(D188,Lists!$A$4:$B$9,2,FALSE))</f>
        <v/>
      </c>
      <c r="I188" s="9">
        <f>IF(H188="","",H188*12)</f>
        <v/>
      </c>
      <c r="J188" s="8">
        <f>IF(E188="","",E188-TODAY())</f>
        <v/>
      </c>
      <c r="K188" s="11">
        <f>IF(A188="","",IF(G188="Cancel","Cancelling",IF(AND(J188&lt;&gt;"",J188&lt;0),"Update renewal date",IF(OR(F188="Rarely",F188="Never"),"Low use - review",IF(AND(J188&lt;&gt;"",J188&lt;=14),"Renews soon","")))))</f>
        <v/>
      </c>
    </row>
    <row r="189">
      <c r="A189" s="13" t="n"/>
      <c r="B189" s="13" t="n"/>
      <c r="C189" s="14" t="n"/>
      <c r="D189" s="13" t="n"/>
      <c r="E189" s="15" t="n"/>
      <c r="F189" s="13" t="n"/>
      <c r="G189" s="13" t="n"/>
      <c r="H189" s="9">
        <f>IF(OR(C189="",D189=""),"",C189*VLOOKUP(D189,Lists!$A$4:$B$9,2,FALSE))</f>
        <v/>
      </c>
      <c r="I189" s="9">
        <f>IF(H189="","",H189*12)</f>
        <v/>
      </c>
      <c r="J189" s="8">
        <f>IF(E189="","",E189-TODAY())</f>
        <v/>
      </c>
      <c r="K189" s="11">
        <f>IF(A189="","",IF(G189="Cancel","Cancelling",IF(AND(J189&lt;&gt;"",J189&lt;0),"Update renewal date",IF(OR(F189="Rarely",F189="Never"),"Low use - review",IF(AND(J189&lt;&gt;"",J189&lt;=14),"Renews soon","")))))</f>
        <v/>
      </c>
    </row>
    <row r="190">
      <c r="A190" s="13" t="n"/>
      <c r="B190" s="13" t="n"/>
      <c r="C190" s="14" t="n"/>
      <c r="D190" s="13" t="n"/>
      <c r="E190" s="15" t="n"/>
      <c r="F190" s="13" t="n"/>
      <c r="G190" s="13" t="n"/>
      <c r="H190" s="9">
        <f>IF(OR(C190="",D190=""),"",C190*VLOOKUP(D190,Lists!$A$4:$B$9,2,FALSE))</f>
        <v/>
      </c>
      <c r="I190" s="9">
        <f>IF(H190="","",H190*12)</f>
        <v/>
      </c>
      <c r="J190" s="8">
        <f>IF(E190="","",E190-TODAY())</f>
        <v/>
      </c>
      <c r="K190" s="11">
        <f>IF(A190="","",IF(G190="Cancel","Cancelling",IF(AND(J190&lt;&gt;"",J190&lt;0),"Update renewal date",IF(OR(F190="Rarely",F190="Never"),"Low use - review",IF(AND(J190&lt;&gt;"",J190&lt;=14),"Renews soon","")))))</f>
        <v/>
      </c>
    </row>
    <row r="191">
      <c r="A191" s="13" t="n"/>
      <c r="B191" s="13" t="n"/>
      <c r="C191" s="14" t="n"/>
      <c r="D191" s="13" t="n"/>
      <c r="E191" s="15" t="n"/>
      <c r="F191" s="13" t="n"/>
      <c r="G191" s="13" t="n"/>
      <c r="H191" s="9">
        <f>IF(OR(C191="",D191=""),"",C191*VLOOKUP(D191,Lists!$A$4:$B$9,2,FALSE))</f>
        <v/>
      </c>
      <c r="I191" s="9">
        <f>IF(H191="","",H191*12)</f>
        <v/>
      </c>
      <c r="J191" s="8">
        <f>IF(E191="","",E191-TODAY())</f>
        <v/>
      </c>
      <c r="K191" s="11">
        <f>IF(A191="","",IF(G191="Cancel","Cancelling",IF(AND(J191&lt;&gt;"",J191&lt;0),"Update renewal date",IF(OR(F191="Rarely",F191="Never"),"Low use - review",IF(AND(J191&lt;&gt;"",J191&lt;=14),"Renews soon","")))))</f>
        <v/>
      </c>
    </row>
    <row r="192">
      <c r="A192" s="13" t="n"/>
      <c r="B192" s="13" t="n"/>
      <c r="C192" s="14" t="n"/>
      <c r="D192" s="13" t="n"/>
      <c r="E192" s="15" t="n"/>
      <c r="F192" s="13" t="n"/>
      <c r="G192" s="13" t="n"/>
      <c r="H192" s="9">
        <f>IF(OR(C192="",D192=""),"",C192*VLOOKUP(D192,Lists!$A$4:$B$9,2,FALSE))</f>
        <v/>
      </c>
      <c r="I192" s="9">
        <f>IF(H192="","",H192*12)</f>
        <v/>
      </c>
      <c r="J192" s="8">
        <f>IF(E192="","",E192-TODAY())</f>
        <v/>
      </c>
      <c r="K192" s="11">
        <f>IF(A192="","",IF(G192="Cancel","Cancelling",IF(AND(J192&lt;&gt;"",J192&lt;0),"Update renewal date",IF(OR(F192="Rarely",F192="Never"),"Low use - review",IF(AND(J192&lt;&gt;"",J192&lt;=14),"Renews soon","")))))</f>
        <v/>
      </c>
    </row>
    <row r="193">
      <c r="A193" s="13" t="n"/>
      <c r="B193" s="13" t="n"/>
      <c r="C193" s="14" t="n"/>
      <c r="D193" s="13" t="n"/>
      <c r="E193" s="15" t="n"/>
      <c r="F193" s="13" t="n"/>
      <c r="G193" s="13" t="n"/>
      <c r="H193" s="9">
        <f>IF(OR(C193="",D193=""),"",C193*VLOOKUP(D193,Lists!$A$4:$B$9,2,FALSE))</f>
        <v/>
      </c>
      <c r="I193" s="9">
        <f>IF(H193="","",H193*12)</f>
        <v/>
      </c>
      <c r="J193" s="8">
        <f>IF(E193="","",E193-TODAY())</f>
        <v/>
      </c>
      <c r="K193" s="11">
        <f>IF(A193="","",IF(G193="Cancel","Cancelling",IF(AND(J193&lt;&gt;"",J193&lt;0),"Update renewal date",IF(OR(F193="Rarely",F193="Never"),"Low use - review",IF(AND(J193&lt;&gt;"",J193&lt;=14),"Renews soon","")))))</f>
        <v/>
      </c>
    </row>
    <row r="194">
      <c r="A194" s="13" t="n"/>
      <c r="B194" s="13" t="n"/>
      <c r="C194" s="14" t="n"/>
      <c r="D194" s="13" t="n"/>
      <c r="E194" s="15" t="n"/>
      <c r="F194" s="13" t="n"/>
      <c r="G194" s="13" t="n"/>
      <c r="H194" s="9">
        <f>IF(OR(C194="",D194=""),"",C194*VLOOKUP(D194,Lists!$A$4:$B$9,2,FALSE))</f>
        <v/>
      </c>
      <c r="I194" s="9">
        <f>IF(H194="","",H194*12)</f>
        <v/>
      </c>
      <c r="J194" s="8">
        <f>IF(E194="","",E194-TODAY())</f>
        <v/>
      </c>
      <c r="K194" s="11">
        <f>IF(A194="","",IF(G194="Cancel","Cancelling",IF(AND(J194&lt;&gt;"",J194&lt;0),"Update renewal date",IF(OR(F194="Rarely",F194="Never"),"Low use - review",IF(AND(J194&lt;&gt;"",J194&lt;=14),"Renews soon","")))))</f>
        <v/>
      </c>
    </row>
    <row r="195">
      <c r="A195" s="13" t="n"/>
      <c r="B195" s="13" t="n"/>
      <c r="C195" s="14" t="n"/>
      <c r="D195" s="13" t="n"/>
      <c r="E195" s="15" t="n"/>
      <c r="F195" s="13" t="n"/>
      <c r="G195" s="13" t="n"/>
      <c r="H195" s="9">
        <f>IF(OR(C195="",D195=""),"",C195*VLOOKUP(D195,Lists!$A$4:$B$9,2,FALSE))</f>
        <v/>
      </c>
      <c r="I195" s="9">
        <f>IF(H195="","",H195*12)</f>
        <v/>
      </c>
      <c r="J195" s="8">
        <f>IF(E195="","",E195-TODAY())</f>
        <v/>
      </c>
      <c r="K195" s="11">
        <f>IF(A195="","",IF(G195="Cancel","Cancelling",IF(AND(J195&lt;&gt;"",J195&lt;0),"Update renewal date",IF(OR(F195="Rarely",F195="Never"),"Low use - review",IF(AND(J195&lt;&gt;"",J195&lt;=14),"Renews soon","")))))</f>
        <v/>
      </c>
    </row>
    <row r="196">
      <c r="A196" s="13" t="n"/>
      <c r="B196" s="13" t="n"/>
      <c r="C196" s="14" t="n"/>
      <c r="D196" s="13" t="n"/>
      <c r="E196" s="15" t="n"/>
      <c r="F196" s="13" t="n"/>
      <c r="G196" s="13" t="n"/>
      <c r="H196" s="9">
        <f>IF(OR(C196="",D196=""),"",C196*VLOOKUP(D196,Lists!$A$4:$B$9,2,FALSE))</f>
        <v/>
      </c>
      <c r="I196" s="9">
        <f>IF(H196="","",H196*12)</f>
        <v/>
      </c>
      <c r="J196" s="8">
        <f>IF(E196="","",E196-TODAY())</f>
        <v/>
      </c>
      <c r="K196" s="11">
        <f>IF(A196="","",IF(G196="Cancel","Cancelling",IF(AND(J196&lt;&gt;"",J196&lt;0),"Update renewal date",IF(OR(F196="Rarely",F196="Never"),"Low use - review",IF(AND(J196&lt;&gt;"",J196&lt;=14),"Renews soon","")))))</f>
        <v/>
      </c>
    </row>
    <row r="197">
      <c r="A197" s="13" t="n"/>
      <c r="B197" s="13" t="n"/>
      <c r="C197" s="14" t="n"/>
      <c r="D197" s="13" t="n"/>
      <c r="E197" s="15" t="n"/>
      <c r="F197" s="13" t="n"/>
      <c r="G197" s="13" t="n"/>
      <c r="H197" s="9">
        <f>IF(OR(C197="",D197=""),"",C197*VLOOKUP(D197,Lists!$A$4:$B$9,2,FALSE))</f>
        <v/>
      </c>
      <c r="I197" s="9">
        <f>IF(H197="","",H197*12)</f>
        <v/>
      </c>
      <c r="J197" s="8">
        <f>IF(E197="","",E197-TODAY())</f>
        <v/>
      </c>
      <c r="K197" s="11">
        <f>IF(A197="","",IF(G197="Cancel","Cancelling",IF(AND(J197&lt;&gt;"",J197&lt;0),"Update renewal date",IF(OR(F197="Rarely",F197="Never"),"Low use - review",IF(AND(J197&lt;&gt;"",J197&lt;=14),"Renews soon","")))))</f>
        <v/>
      </c>
    </row>
    <row r="198">
      <c r="A198" s="13" t="n"/>
      <c r="B198" s="13" t="n"/>
      <c r="C198" s="14" t="n"/>
      <c r="D198" s="13" t="n"/>
      <c r="E198" s="15" t="n"/>
      <c r="F198" s="13" t="n"/>
      <c r="G198" s="13" t="n"/>
      <c r="H198" s="9">
        <f>IF(OR(C198="",D198=""),"",C198*VLOOKUP(D198,Lists!$A$4:$B$9,2,FALSE))</f>
        <v/>
      </c>
      <c r="I198" s="9">
        <f>IF(H198="","",H198*12)</f>
        <v/>
      </c>
      <c r="J198" s="8">
        <f>IF(E198="","",E198-TODAY())</f>
        <v/>
      </c>
      <c r="K198" s="11">
        <f>IF(A198="","",IF(G198="Cancel","Cancelling",IF(AND(J198&lt;&gt;"",J198&lt;0),"Update renewal date",IF(OR(F198="Rarely",F198="Never"),"Low use - review",IF(AND(J198&lt;&gt;"",J198&lt;=14),"Renews soon","")))))</f>
        <v/>
      </c>
    </row>
    <row r="199">
      <c r="A199" s="13" t="n"/>
      <c r="B199" s="13" t="n"/>
      <c r="C199" s="14" t="n"/>
      <c r="D199" s="13" t="n"/>
      <c r="E199" s="15" t="n"/>
      <c r="F199" s="13" t="n"/>
      <c r="G199" s="13" t="n"/>
      <c r="H199" s="9">
        <f>IF(OR(C199="",D199=""),"",C199*VLOOKUP(D199,Lists!$A$4:$B$9,2,FALSE))</f>
        <v/>
      </c>
      <c r="I199" s="9">
        <f>IF(H199="","",H199*12)</f>
        <v/>
      </c>
      <c r="J199" s="8">
        <f>IF(E199="","",E199-TODAY())</f>
        <v/>
      </c>
      <c r="K199" s="11">
        <f>IF(A199="","",IF(G199="Cancel","Cancelling",IF(AND(J199&lt;&gt;"",J199&lt;0),"Update renewal date",IF(OR(F199="Rarely",F199="Never"),"Low use - review",IF(AND(J199&lt;&gt;"",J199&lt;=14),"Renews soon","")))))</f>
        <v/>
      </c>
    </row>
    <row r="200">
      <c r="A200" s="13" t="n"/>
      <c r="B200" s="13" t="n"/>
      <c r="C200" s="14" t="n"/>
      <c r="D200" s="13" t="n"/>
      <c r="E200" s="15" t="n"/>
      <c r="F200" s="13" t="n"/>
      <c r="G200" s="13" t="n"/>
      <c r="H200" s="9">
        <f>IF(OR(C200="",D200=""),"",C200*VLOOKUP(D200,Lists!$A$4:$B$9,2,FALSE))</f>
        <v/>
      </c>
      <c r="I200" s="9">
        <f>IF(H200="","",H200*12)</f>
        <v/>
      </c>
      <c r="J200" s="8">
        <f>IF(E200="","",E200-TODAY())</f>
        <v/>
      </c>
      <c r="K200" s="11">
        <f>IF(A200="","",IF(G200="Cancel","Cancelling",IF(AND(J200&lt;&gt;"",J200&lt;0),"Update renewal date",IF(OR(F200="Rarely",F200="Never"),"Low use - review",IF(AND(J200&lt;&gt;"",J200&lt;=14),"Renews soon","")))))</f>
        <v/>
      </c>
    </row>
    <row r="201">
      <c r="A201" s="13" t="n"/>
      <c r="B201" s="13" t="n"/>
      <c r="C201" s="14" t="n"/>
      <c r="D201" s="13" t="n"/>
      <c r="E201" s="15" t="n"/>
      <c r="F201" s="13" t="n"/>
      <c r="G201" s="13" t="n"/>
      <c r="H201" s="9">
        <f>IF(OR(C201="",D201=""),"",C201*VLOOKUP(D201,Lists!$A$4:$B$9,2,FALSE))</f>
        <v/>
      </c>
      <c r="I201" s="9">
        <f>IF(H201="","",H201*12)</f>
        <v/>
      </c>
      <c r="J201" s="8">
        <f>IF(E201="","",E201-TODAY())</f>
        <v/>
      </c>
      <c r="K201" s="11">
        <f>IF(A201="","",IF(G201="Cancel","Cancelling",IF(AND(J201&lt;&gt;"",J201&lt;0),"Update renewal date",IF(OR(F201="Rarely",F201="Never"),"Low use - review",IF(AND(J201&lt;&gt;"",J201&lt;=14),"Renews soon","")))))</f>
        <v/>
      </c>
    </row>
  </sheetData>
  <conditionalFormatting sqref="K2:K201">
    <cfRule type="expression" priority="1" dxfId="0">
      <formula>K2&lt;&gt;""</formula>
    </cfRule>
  </conditionalFormatting>
  <conditionalFormatting sqref="G2:G201">
    <cfRule type="expression" priority="2" dxfId="1">
      <formula>G2="Cancel"</formula>
    </cfRule>
    <cfRule type="expression" priority="3" dxfId="2">
      <formula>G2="Keep"</formula>
    </cfRule>
  </conditionalFormatting>
  <dataValidations count="4">
    <dataValidation sqref="B2:B201" showDropDown="0" showInputMessage="0" showErrorMessage="0" allowBlank="1" type="list">
      <formula1>=Lists!$D$4:$D$13</formula1>
    </dataValidation>
    <dataValidation sqref="D2:D201" showDropDown="0" showInputMessage="0" showErrorMessage="0" allowBlank="1" type="list">
      <formula1>=Lists!$A$4:$A$9</formula1>
    </dataValidation>
    <dataValidation sqref="F2:F201" showDropDown="0" showInputMessage="0" showErrorMessage="0" allowBlank="1" type="list">
      <formula1>=Lists!$E$4:$E$8</formula1>
    </dataValidation>
    <dataValidation sqref="G2:G201" showDropDown="0" showInputMessage="0" showErrorMessage="0" allowBlank="1" type="list">
      <formula1>"Keep,Review,Cancel"</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E13"/>
  <sheetViews>
    <sheetView workbookViewId="0">
      <selection activeCell="A1" sqref="A1"/>
    </sheetView>
  </sheetViews>
  <sheetFormatPr baseColWidth="8" defaultRowHeight="15"/>
  <cols>
    <col width="22" customWidth="1" min="1" max="1"/>
    <col width="16" customWidth="1" min="2" max="2"/>
    <col width="22" customWidth="1" min="4" max="4"/>
    <col width="14" customWidth="1" min="5" max="5"/>
  </cols>
  <sheetData>
    <row r="1">
      <c r="A1" s="1" t="inlineStr">
        <is>
          <t>Lists</t>
        </is>
      </c>
    </row>
    <row r="3" ht="30" customHeight="1">
      <c r="A3" s="12" t="inlineStr">
        <is>
          <t>Billing cycle</t>
        </is>
      </c>
      <c r="B3" s="12" t="inlineStr">
        <is>
          <t>Months factor</t>
        </is>
      </c>
      <c r="D3" s="10" t="inlineStr">
        <is>
          <t>Categories</t>
        </is>
      </c>
      <c r="E3" s="10" t="inlineStr">
        <is>
          <t>Usage</t>
        </is>
      </c>
    </row>
    <row r="4">
      <c r="A4" s="11" t="inlineStr">
        <is>
          <t>Weekly</t>
        </is>
      </c>
      <c r="B4" s="16">
        <f>52/12</f>
        <v/>
      </c>
      <c r="D4" s="13" t="inlineStr">
        <is>
          <t>Entertainment</t>
        </is>
      </c>
      <c r="E4" t="inlineStr">
        <is>
          <t>Daily</t>
        </is>
      </c>
    </row>
    <row r="5">
      <c r="A5" s="11" t="inlineStr">
        <is>
          <t>Every 2 weeks</t>
        </is>
      </c>
      <c r="B5" s="16">
        <f>26/12</f>
        <v/>
      </c>
      <c r="D5" s="13" t="inlineStr">
        <is>
          <t>Software</t>
        </is>
      </c>
      <c r="E5" t="inlineStr">
        <is>
          <t>Weekly</t>
        </is>
      </c>
    </row>
    <row r="6">
      <c r="A6" s="11" t="inlineStr">
        <is>
          <t>Monthly</t>
        </is>
      </c>
      <c r="B6" s="16" t="n">
        <v>1</v>
      </c>
      <c r="D6" s="13" t="inlineStr">
        <is>
          <t>News &amp; media</t>
        </is>
      </c>
      <c r="E6" t="inlineStr">
        <is>
          <t>Monthly</t>
        </is>
      </c>
    </row>
    <row r="7">
      <c r="A7" s="11" t="inlineStr">
        <is>
          <t>Quarterly</t>
        </is>
      </c>
      <c r="B7" s="16">
        <f>1/3</f>
        <v/>
      </c>
      <c r="D7" s="13" t="inlineStr">
        <is>
          <t>Health &amp; fitness</t>
        </is>
      </c>
      <c r="E7" t="inlineStr">
        <is>
          <t>Rarely</t>
        </is>
      </c>
    </row>
    <row r="8">
      <c r="A8" s="11" t="inlineStr">
        <is>
          <t>Every 6 months</t>
        </is>
      </c>
      <c r="B8" s="16">
        <f>1/6</f>
        <v/>
      </c>
      <c r="D8" s="13" t="inlineStr">
        <is>
          <t>Cloud &amp; storage</t>
        </is>
      </c>
      <c r="E8" t="inlineStr">
        <is>
          <t>Never</t>
        </is>
      </c>
    </row>
    <row r="9">
      <c r="A9" s="11" t="inlineStr">
        <is>
          <t>Yearly</t>
        </is>
      </c>
      <c r="B9" s="16">
        <f>1/12</f>
        <v/>
      </c>
      <c r="D9" s="13" t="inlineStr">
        <is>
          <t>Education</t>
        </is>
      </c>
    </row>
    <row r="10">
      <c r="D10" s="13" t="inlineStr">
        <is>
          <t>Finance</t>
        </is>
      </c>
    </row>
    <row r="11">
      <c r="D11" s="13" t="inlineStr">
        <is>
          <t>Home &amp; utilities</t>
        </is>
      </c>
    </row>
    <row r="12">
      <c r="D12" s="13" t="inlineStr">
        <is>
          <t>Other</t>
        </is>
      </c>
    </row>
    <row r="13">
      <c r="D13" s="13" t="inlineStr">
        <is>
          <t>Custom</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2026-10-02T00:10:56Z</dcterms:created>
  <dcterms:modified xsi:type="dcterms:W3CDTF">2026-10-02T00:10:56Z</dcterms:modified>
</cp:coreProperties>
</file>