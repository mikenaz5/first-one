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ummary" sheetId="2" state="visible" r:id="rId2"/>
    <sheet name="Settings" sheetId="3" state="visible" r:id="rId3"/>
    <sheet name="Invoices" sheetId="4" state="visible" r:id="rId4"/>
    <sheet name="Expenses" sheetId="5" state="visible" r:id="rId5"/>
  </sheets>
  <definedNames>
    <definedName name="_xlnm.Print_Area" localSheetId="3">'Invoices'!$A$1:$I$60</definedName>
    <definedName name="_xlnm.Print_Area" localSheetId="4">'Expenses'!$A$1:$E$60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yyyy"/>
  </numFmts>
  <fonts count="5">
    <font>
      <name val="Calibri"/>
      <family val="2"/>
      <color theme="1"/>
      <sz val="11"/>
      <scheme val="minor"/>
    </font>
    <font>
      <b val="1"/>
      <color rgb="001F4E5F"/>
      <sz val="16"/>
    </font>
    <font>
      <b val="1"/>
    </font>
    <font>
      <b val="1"/>
      <color rgb="00FFFFFF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EAF3FB"/>
      </patternFill>
    </fill>
    <fill>
      <patternFill patternType="solid">
        <fgColor rgb="00F4F4F4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4" borderId="0" pivotButton="0" quotePrefix="0" xfId="0"/>
    <xf numFmtId="165" fontId="0" fillId="3" borderId="1" pivotButton="0" quotePrefix="0" xfId="0"/>
    <xf numFmtId="4" fontId="0" fillId="3" borderId="1" pivotButton="0" quotePrefix="0" xfId="0"/>
    <xf numFmtId="0" fontId="0" fillId="3" borderId="1" pivotButton="0" quotePrefix="0" xfId="0"/>
    <xf numFmtId="1" fontId="0" fillId="3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0" fillId="2" borderId="1" pivotButton="0" quotePrefix="0" xfId="0"/>
    <xf numFmtId="9" fontId="0" fillId="2" borderId="1" pivotButton="0" quotePrefix="0" xfId="0"/>
    <xf numFmtId="164" fontId="0" fillId="2" borderId="1" pivotButton="0" quotePrefix="0" xfId="0"/>
    <xf numFmtId="164" fontId="0" fillId="3" borderId="1" pivotButton="0" quotePrefix="0" xfId="0"/>
    <xf numFmtId="4" fontId="0" fillId="2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D9F2E0"/>
        </patternFill>
      </fill>
    </dxf>
    <dxf>
      <fill>
        <patternFill patternType="solid">
          <fgColor rgb="00F9D6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>
              <a:prstDash val="solid"/>
            </a:ln>
          </spPr>
          <cat>
            <numRef>
              <f>'Summary'!$A$6:$A$17</f>
            </numRef>
          </cat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>
              <a:prstDash val="solid"/>
            </a:ln>
          </spPr>
          <cat>
            <numRef>
              <f>'Summary'!$A$6:$A$17</f>
            </numRef>
          </cat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Freelancer Money Tracker</t>
        </is>
      </c>
    </row>
    <row r="3">
      <c r="A3" s="2" t="inlineStr">
        <is>
          <t>What this does:</t>
        </is>
      </c>
    </row>
    <row r="4">
      <c r="A4" s="3" t="inlineStr">
        <is>
          <t>Log invoices and expenses. The Summary sheet shows income, expenses, profit and a suggested tax set-aside for every month, and the Invoices sheet flags who is overdue.</t>
        </is>
      </c>
    </row>
    <row r="5">
      <c r="A5" s="3" t="inlineStr"/>
    </row>
    <row r="6">
      <c r="A6" s="2" t="inlineStr">
        <is>
          <t>Set up (2 minutes):</t>
        </is>
      </c>
    </row>
    <row r="7">
      <c r="A7" s="3" t="inlineStr">
        <is>
          <t>1. Open the Settings sheet and set your tax set-aside rate and default payment terms.</t>
        </is>
      </c>
    </row>
    <row r="8">
      <c r="A8" s="3" t="inlineStr">
        <is>
          <t>2. Add one row per invoice on the Invoices sheet. Fill in the blue cells only. Due date, status and days overdue fill themselves in.</t>
        </is>
      </c>
    </row>
    <row r="9">
      <c r="A9" s="3" t="inlineStr">
        <is>
          <t>3. When a client pays, enter the Date paid. The invoice turns green and the income lands in that month on the Summary sheet.</t>
        </is>
      </c>
    </row>
    <row r="10">
      <c r="A10" s="3" t="inlineStr">
        <is>
          <t>4. Add expenses on the Expenses sheet and pick a category from the drop-down.</t>
        </is>
      </c>
    </row>
    <row r="11">
      <c r="A11" s="3" t="inlineStr"/>
    </row>
    <row r="12">
      <c r="A12" s="2" t="inlineStr">
        <is>
          <t>Good to know:</t>
        </is>
      </c>
    </row>
    <row r="13">
      <c r="A13" s="3" t="inlineStr">
        <is>
          <t>- Income is counted when it is paid (cash basis), not when you send the invoice.</t>
        </is>
      </c>
    </row>
    <row r="14">
      <c r="A14" s="3" t="inlineStr">
        <is>
          <t>- The tax set-aside is a planning estimate (profit x your rate), not tax advice. Ask an accountant what applies to you.</t>
        </is>
      </c>
    </row>
    <row r="15">
      <c r="A15" s="3" t="inlineStr">
        <is>
          <t>- To look at a past year, type that year into the Settings sheet instead of the formula.</t>
        </is>
      </c>
    </row>
    <row r="16">
      <c r="A16" s="3" t="inlineStr">
        <is>
          <t>- To clear the example data, select the blue cells and press Delete. Never delete whole rows, as that removes the formulas.</t>
        </is>
      </c>
    </row>
    <row r="17">
      <c r="A17" s="3" t="inlineStr">
        <is>
          <t>- Built with standard formulas (SUMIFS, VLOOKUP, EDATE) that Excel, Google Sheets, LibreOffice and Apple Numbers support. Each sheet is ready for 500 rows.</t>
        </is>
      </c>
    </row>
    <row r="18">
      <c r="A18" s="3" t="inlineStr">
        <is>
          <t>- Printing: every sheet prints landscape, one page wide. The Invoices and Expenses sheets print their first 60 rows. To print more, change the print area (Page Layout &gt; Print Area).</t>
        </is>
      </c>
    </row>
    <row r="20">
      <c r="A20" s="4" t="inlineStr">
        <is>
          <t>Colour key</t>
        </is>
      </c>
    </row>
    <row r="21">
      <c r="A21" s="5" t="inlineStr">
        <is>
          <t>Blue cells are for you to fill in.</t>
        </is>
      </c>
    </row>
    <row r="22">
      <c r="A22" s="6" t="inlineStr">
        <is>
          <t>Grey cells are formulas. Leave them alone.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22" customWidth="1" min="5" max="5"/>
    <col width="28" customWidth="1" min="7" max="7"/>
    <col width="16" customWidth="1" min="8" max="8"/>
  </cols>
  <sheetData>
    <row r="1">
      <c r="A1" s="1" t="inlineStr">
        <is>
          <t>Summary</t>
        </is>
      </c>
    </row>
    <row r="2">
      <c r="A2" s="7" t="inlineStr">
        <is>
          <t>Cash basis: income counts in the month it was paid.</t>
        </is>
      </c>
    </row>
    <row r="3">
      <c r="A3" s="4" t="inlineStr">
        <is>
          <t>Year</t>
        </is>
      </c>
      <c r="B3">
        <f>Settings!B3</f>
        <v/>
      </c>
    </row>
    <row r="5" ht="30" customHeight="1">
      <c r="A5" s="8" t="inlineStr">
        <is>
          <t>Month</t>
        </is>
      </c>
      <c r="B5" s="8" t="inlineStr">
        <is>
          <t>Income</t>
        </is>
      </c>
      <c r="C5" s="8" t="inlineStr">
        <is>
          <t>Expenses</t>
        </is>
      </c>
      <c r="D5" s="8" t="inlineStr">
        <is>
          <t>Profit</t>
        </is>
      </c>
      <c r="E5" s="8" t="inlineStr">
        <is>
          <t>Suggested set-aside</t>
        </is>
      </c>
      <c r="G5" s="9" t="inlineStr">
        <is>
          <t>Money owed to you</t>
        </is>
      </c>
      <c r="H5" s="9" t="inlineStr">
        <is>
          <t>Amount</t>
        </is>
      </c>
    </row>
    <row r="6">
      <c r="A6" s="10">
        <f>DATE($B$3,1,1)</f>
        <v/>
      </c>
      <c r="B6" s="11">
        <f>SUMIFS(Invoices!$F$2:$F$501,Invoices!$G$2:$G$501,"&gt;="&amp;A6,Invoices!$G$2:$G$501,"&lt;"&amp;EDATE(A6,1))</f>
        <v/>
      </c>
      <c r="C6" s="11">
        <f>SUMIFS(Expenses!$D$2:$D$501,Expenses!$A$2:$A$501,"&gt;="&amp;A6,Expenses!$A$2:$A$501,"&lt;"&amp;EDATE(A6,1))</f>
        <v/>
      </c>
      <c r="D6" s="11">
        <f>B6-C6</f>
        <v/>
      </c>
      <c r="E6" s="11">
        <f>MAX(0,D6)*Settings!$B$4</f>
        <v/>
      </c>
      <c r="G6" s="12" t="inlineStr">
        <is>
          <t>Sent, not yet due</t>
        </is>
      </c>
      <c r="H6" s="11">
        <f>SUMIFS(Invoices!$F$2:$F$501,Invoices!$H$2:$H$501,"Sent")</f>
        <v/>
      </c>
    </row>
    <row r="7">
      <c r="A7" s="10">
        <f>DATE($B$3,2,1)</f>
        <v/>
      </c>
      <c r="B7" s="11">
        <f>SUMIFS(Invoices!$F$2:$F$501,Invoices!$G$2:$G$501,"&gt;="&amp;A7,Invoices!$G$2:$G$501,"&lt;"&amp;EDATE(A7,1))</f>
        <v/>
      </c>
      <c r="C7" s="11">
        <f>SUMIFS(Expenses!$D$2:$D$501,Expenses!$A$2:$A$501,"&gt;="&amp;A7,Expenses!$A$2:$A$501,"&lt;"&amp;EDATE(A7,1))</f>
        <v/>
      </c>
      <c r="D7" s="11">
        <f>B7-C7</f>
        <v/>
      </c>
      <c r="E7" s="11">
        <f>MAX(0,D7)*Settings!$B$4</f>
        <v/>
      </c>
      <c r="G7" s="12" t="inlineStr">
        <is>
          <t>Overdue</t>
        </is>
      </c>
      <c r="H7" s="11">
        <f>SUMIFS(Invoices!$F$2:$F$501,Invoices!$H$2:$H$501,"Overdue")</f>
        <v/>
      </c>
    </row>
    <row r="8">
      <c r="A8" s="10">
        <f>DATE($B$3,3,1)</f>
        <v/>
      </c>
      <c r="B8" s="11">
        <f>SUMIFS(Invoices!$F$2:$F$501,Invoices!$G$2:$G$501,"&gt;="&amp;A8,Invoices!$G$2:$G$501,"&lt;"&amp;EDATE(A8,1))</f>
        <v/>
      </c>
      <c r="C8" s="11">
        <f>SUMIFS(Expenses!$D$2:$D$501,Expenses!$A$2:$A$501,"&gt;="&amp;A8,Expenses!$A$2:$A$501,"&lt;"&amp;EDATE(A8,1))</f>
        <v/>
      </c>
      <c r="D8" s="11">
        <f>B8-C8</f>
        <v/>
      </c>
      <c r="E8" s="11">
        <f>MAX(0,D8)*Settings!$B$4</f>
        <v/>
      </c>
      <c r="G8" s="12" t="inlineStr">
        <is>
          <t>Total outstanding</t>
        </is>
      </c>
      <c r="H8" s="11">
        <f>H6+H7</f>
        <v/>
      </c>
    </row>
    <row r="9">
      <c r="A9" s="10">
        <f>DATE($B$3,4,1)</f>
        <v/>
      </c>
      <c r="B9" s="11">
        <f>SUMIFS(Invoices!$F$2:$F$501,Invoices!$G$2:$G$501,"&gt;="&amp;A9,Invoices!$G$2:$G$501,"&lt;"&amp;EDATE(A9,1))</f>
        <v/>
      </c>
      <c r="C9" s="11">
        <f>SUMIFS(Expenses!$D$2:$D$501,Expenses!$A$2:$A$501,"&gt;="&amp;A9,Expenses!$A$2:$A$501,"&lt;"&amp;EDATE(A9,1))</f>
        <v/>
      </c>
      <c r="D9" s="11">
        <f>B9-C9</f>
        <v/>
      </c>
      <c r="E9" s="11">
        <f>MAX(0,D9)*Settings!$B$4</f>
        <v/>
      </c>
      <c r="G9" s="12" t="inlineStr">
        <is>
          <t>Overdue invoices (count)</t>
        </is>
      </c>
      <c r="H9" s="13">
        <f>COUNTIF(Invoices!$H$2:$H$501,"Overdue")</f>
        <v/>
      </c>
    </row>
    <row r="10">
      <c r="A10" s="10">
        <f>DATE($B$3,5,1)</f>
        <v/>
      </c>
      <c r="B10" s="11">
        <f>SUMIFS(Invoices!$F$2:$F$501,Invoices!$G$2:$G$501,"&gt;="&amp;A10,Invoices!$G$2:$G$501,"&lt;"&amp;EDATE(A10,1))</f>
        <v/>
      </c>
      <c r="C10" s="11">
        <f>SUMIFS(Expenses!$D$2:$D$501,Expenses!$A$2:$A$501,"&gt;="&amp;A10,Expenses!$A$2:$A$501,"&lt;"&amp;EDATE(A10,1))</f>
        <v/>
      </c>
      <c r="D10" s="11">
        <f>B10-C10</f>
        <v/>
      </c>
      <c r="E10" s="11">
        <f>MAX(0,D10)*Settings!$B$4</f>
        <v/>
      </c>
    </row>
    <row r="11">
      <c r="A11" s="10">
        <f>DATE($B$3,6,1)</f>
        <v/>
      </c>
      <c r="B11" s="11">
        <f>SUMIFS(Invoices!$F$2:$F$501,Invoices!$G$2:$G$501,"&gt;="&amp;A11,Invoices!$G$2:$G$501,"&lt;"&amp;EDATE(A11,1))</f>
        <v/>
      </c>
      <c r="C11" s="11">
        <f>SUMIFS(Expenses!$D$2:$D$501,Expenses!$A$2:$A$501,"&gt;="&amp;A11,Expenses!$A$2:$A$501,"&lt;"&amp;EDATE(A11,1))</f>
        <v/>
      </c>
      <c r="D11" s="11">
        <f>B11-C11</f>
        <v/>
      </c>
      <c r="E11" s="11">
        <f>MAX(0,D11)*Settings!$B$4</f>
        <v/>
      </c>
    </row>
    <row r="12">
      <c r="A12" s="10">
        <f>DATE($B$3,7,1)</f>
        <v/>
      </c>
      <c r="B12" s="11">
        <f>SUMIFS(Invoices!$F$2:$F$501,Invoices!$G$2:$G$501,"&gt;="&amp;A12,Invoices!$G$2:$G$501,"&lt;"&amp;EDATE(A12,1))</f>
        <v/>
      </c>
      <c r="C12" s="11">
        <f>SUMIFS(Expenses!$D$2:$D$501,Expenses!$A$2:$A$501,"&gt;="&amp;A12,Expenses!$A$2:$A$501,"&lt;"&amp;EDATE(A12,1))</f>
        <v/>
      </c>
      <c r="D12" s="11">
        <f>B12-C12</f>
        <v/>
      </c>
      <c r="E12" s="11">
        <f>MAX(0,D12)*Settings!$B$4</f>
        <v/>
      </c>
    </row>
    <row r="13">
      <c r="A13" s="10">
        <f>DATE($B$3,8,1)</f>
        <v/>
      </c>
      <c r="B13" s="11">
        <f>SUMIFS(Invoices!$F$2:$F$501,Invoices!$G$2:$G$501,"&gt;="&amp;A13,Invoices!$G$2:$G$501,"&lt;"&amp;EDATE(A13,1))</f>
        <v/>
      </c>
      <c r="C13" s="11">
        <f>SUMIFS(Expenses!$D$2:$D$501,Expenses!$A$2:$A$501,"&gt;="&amp;A13,Expenses!$A$2:$A$501,"&lt;"&amp;EDATE(A13,1))</f>
        <v/>
      </c>
      <c r="D13" s="11">
        <f>B13-C13</f>
        <v/>
      </c>
      <c r="E13" s="11">
        <f>MAX(0,D13)*Settings!$B$4</f>
        <v/>
      </c>
    </row>
    <row r="14">
      <c r="A14" s="10">
        <f>DATE($B$3,9,1)</f>
        <v/>
      </c>
      <c r="B14" s="11">
        <f>SUMIFS(Invoices!$F$2:$F$501,Invoices!$G$2:$G$501,"&gt;="&amp;A14,Invoices!$G$2:$G$501,"&lt;"&amp;EDATE(A14,1))</f>
        <v/>
      </c>
      <c r="C14" s="11">
        <f>SUMIFS(Expenses!$D$2:$D$501,Expenses!$A$2:$A$501,"&gt;="&amp;A14,Expenses!$A$2:$A$501,"&lt;"&amp;EDATE(A14,1))</f>
        <v/>
      </c>
      <c r="D14" s="11">
        <f>B14-C14</f>
        <v/>
      </c>
      <c r="E14" s="11">
        <f>MAX(0,D14)*Settings!$B$4</f>
        <v/>
      </c>
    </row>
    <row r="15">
      <c r="A15" s="10">
        <f>DATE($B$3,10,1)</f>
        <v/>
      </c>
      <c r="B15" s="11">
        <f>SUMIFS(Invoices!$F$2:$F$501,Invoices!$G$2:$G$501,"&gt;="&amp;A15,Invoices!$G$2:$G$501,"&lt;"&amp;EDATE(A15,1))</f>
        <v/>
      </c>
      <c r="C15" s="11">
        <f>SUMIFS(Expenses!$D$2:$D$501,Expenses!$A$2:$A$501,"&gt;="&amp;A15,Expenses!$A$2:$A$501,"&lt;"&amp;EDATE(A15,1))</f>
        <v/>
      </c>
      <c r="D15" s="11">
        <f>B15-C15</f>
        <v/>
      </c>
      <c r="E15" s="11">
        <f>MAX(0,D15)*Settings!$B$4</f>
        <v/>
      </c>
    </row>
    <row r="16">
      <c r="A16" s="10">
        <f>DATE($B$3,11,1)</f>
        <v/>
      </c>
      <c r="B16" s="11">
        <f>SUMIFS(Invoices!$F$2:$F$501,Invoices!$G$2:$G$501,"&gt;="&amp;A16,Invoices!$G$2:$G$501,"&lt;"&amp;EDATE(A16,1))</f>
        <v/>
      </c>
      <c r="C16" s="11">
        <f>SUMIFS(Expenses!$D$2:$D$501,Expenses!$A$2:$A$501,"&gt;="&amp;A16,Expenses!$A$2:$A$501,"&lt;"&amp;EDATE(A16,1))</f>
        <v/>
      </c>
      <c r="D16" s="11">
        <f>B16-C16</f>
        <v/>
      </c>
      <c r="E16" s="11">
        <f>MAX(0,D16)*Settings!$B$4</f>
        <v/>
      </c>
    </row>
    <row r="17">
      <c r="A17" s="10">
        <f>DATE($B$3,12,1)</f>
        <v/>
      </c>
      <c r="B17" s="11">
        <f>SUMIFS(Invoices!$F$2:$F$501,Invoices!$G$2:$G$501,"&gt;="&amp;A17,Invoices!$G$2:$G$501,"&lt;"&amp;EDATE(A17,1))</f>
        <v/>
      </c>
      <c r="C17" s="11">
        <f>SUMIFS(Expenses!$D$2:$D$501,Expenses!$A$2:$A$501,"&gt;="&amp;A17,Expenses!$A$2:$A$501,"&lt;"&amp;EDATE(A17,1))</f>
        <v/>
      </c>
      <c r="D17" s="11">
        <f>B17-C17</f>
        <v/>
      </c>
      <c r="E17" s="11">
        <f>MAX(0,D17)*Settings!$B$4</f>
        <v/>
      </c>
    </row>
    <row r="18">
      <c r="A18" s="14" t="inlineStr">
        <is>
          <t>Year total</t>
        </is>
      </c>
      <c r="B18" s="15">
        <f>SUM(B6:B17)</f>
        <v/>
      </c>
      <c r="C18" s="15">
        <f>SUM(C6:C17)</f>
        <v/>
      </c>
      <c r="D18" s="15">
        <f>B18-C18</f>
        <v/>
      </c>
      <c r="E18" s="15">
        <f>MAX(0,D18)*Settings!$B$4</f>
        <v/>
      </c>
    </row>
    <row r="19">
      <c r="A19" s="7" t="inlineStr">
        <is>
          <t>The year-total set-aside is worked out on full-year profit, so it can differ from the sum of the months.</t>
        </is>
      </c>
    </row>
    <row r="22">
      <c r="A22" s="9" t="inlineStr">
        <is>
          <t>Expenses by category (year)</t>
        </is>
      </c>
      <c r="B22" s="9" t="inlineStr">
        <is>
          <t>Amount</t>
        </is>
      </c>
    </row>
    <row r="23">
      <c r="A23" s="12">
        <f>Settings!D3</f>
        <v/>
      </c>
      <c r="B23" s="11">
        <f>SUMIFS(Expenses!$D$2:$D$501,Expenses!$C$2:$C$501,A23,Expenses!$A$2:$A$501,"&gt;="&amp;DATE($B$3,1,1),Expenses!$A$2:$A$501,"&lt;"&amp;DATE($B$3+1,1,1))</f>
        <v/>
      </c>
    </row>
    <row r="24">
      <c r="A24" s="12">
        <f>Settings!D4</f>
        <v/>
      </c>
      <c r="B24" s="11">
        <f>SUMIFS(Expenses!$D$2:$D$501,Expenses!$C$2:$C$501,A24,Expenses!$A$2:$A$501,"&gt;="&amp;DATE($B$3,1,1),Expenses!$A$2:$A$501,"&lt;"&amp;DATE($B$3+1,1,1))</f>
        <v/>
      </c>
    </row>
    <row r="25">
      <c r="A25" s="12">
        <f>Settings!D5</f>
        <v/>
      </c>
      <c r="B25" s="11">
        <f>SUMIFS(Expenses!$D$2:$D$501,Expenses!$C$2:$C$501,A25,Expenses!$A$2:$A$501,"&gt;="&amp;DATE($B$3,1,1),Expenses!$A$2:$A$501,"&lt;"&amp;DATE($B$3+1,1,1))</f>
        <v/>
      </c>
    </row>
    <row r="26">
      <c r="A26" s="12">
        <f>Settings!D6</f>
        <v/>
      </c>
      <c r="B26" s="11">
        <f>SUMIFS(Expenses!$D$2:$D$501,Expenses!$C$2:$C$501,A26,Expenses!$A$2:$A$501,"&gt;="&amp;DATE($B$3,1,1),Expenses!$A$2:$A$501,"&lt;"&amp;DATE($B$3+1,1,1))</f>
        <v/>
      </c>
    </row>
    <row r="27">
      <c r="A27" s="12">
        <f>Settings!D7</f>
        <v/>
      </c>
      <c r="B27" s="11">
        <f>SUMIFS(Expenses!$D$2:$D$501,Expenses!$C$2:$C$501,A27,Expenses!$A$2:$A$501,"&gt;="&amp;DATE($B$3,1,1),Expenses!$A$2:$A$501,"&lt;"&amp;DATE($B$3+1,1,1))</f>
        <v/>
      </c>
    </row>
    <row r="28">
      <c r="A28" s="12">
        <f>Settings!D8</f>
        <v/>
      </c>
      <c r="B28" s="11">
        <f>SUMIFS(Expenses!$D$2:$D$501,Expenses!$C$2:$C$501,A28,Expenses!$A$2:$A$501,"&gt;="&amp;DATE($B$3,1,1),Expenses!$A$2:$A$501,"&lt;"&amp;DATE($B$3+1,1,1))</f>
        <v/>
      </c>
    </row>
    <row r="29">
      <c r="A29" s="12">
        <f>Settings!D9</f>
        <v/>
      </c>
      <c r="B29" s="11">
        <f>SUMIFS(Expenses!$D$2:$D$501,Expenses!$C$2:$C$501,A29,Expenses!$A$2:$A$501,"&gt;="&amp;DATE($B$3,1,1),Expenses!$A$2:$A$501,"&lt;"&amp;DATE($B$3+1,1,1))</f>
        <v/>
      </c>
    </row>
    <row r="30">
      <c r="A30" s="12">
        <f>Settings!D10</f>
        <v/>
      </c>
      <c r="B30" s="11">
        <f>SUMIFS(Expenses!$D$2:$D$501,Expenses!$C$2:$C$501,A30,Expenses!$A$2:$A$501,"&gt;="&amp;DATE($B$3,1,1),Expenses!$A$2:$A$501,"&lt;"&amp;DATE($B$3+1,1,1))</f>
        <v/>
      </c>
    </row>
    <row r="31">
      <c r="A31" s="12">
        <f>Settings!D11</f>
        <v/>
      </c>
      <c r="B31" s="11">
        <f>SUMIFS(Expenses!$D$2:$D$501,Expenses!$C$2:$C$501,A31,Expenses!$A$2:$A$501,"&gt;="&amp;DATE($B$3,1,1),Expenses!$A$2:$A$501,"&lt;"&amp;DATE($B$3+1,1,1))</f>
        <v/>
      </c>
    </row>
    <row r="32">
      <c r="A32" s="12">
        <f>Settings!D12</f>
        <v/>
      </c>
      <c r="B32" s="11">
        <f>SUMIFS(Expenses!$D$2:$D$501,Expenses!$C$2:$C$501,A32,Expenses!$A$2:$A$501,"&gt;="&amp;DATE($B$3,1,1),Expenses!$A$2:$A$501,"&lt;"&amp;DATE($B$3+1,1,1))</f>
        <v/>
      </c>
    </row>
    <row r="33">
      <c r="A33" s="12">
        <f>Settings!D13</f>
        <v/>
      </c>
      <c r="B33" s="11">
        <f>SUMIFS(Expenses!$D$2:$D$501,Expenses!$C$2:$C$501,A33,Expenses!$A$2:$A$501,"&gt;="&amp;DATE($B$3,1,1),Expenses!$A$2:$A$501,"&lt;"&amp;DATE($B$3+1,1,1))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4" max="4"/>
  </cols>
  <sheetData>
    <row r="1">
      <c r="A1" s="1" t="inlineStr">
        <is>
          <t>Settings</t>
        </is>
      </c>
    </row>
    <row r="2">
      <c r="D2" s="4" t="inlineStr">
        <is>
          <t>Expense categories (rename freely)</t>
        </is>
      </c>
    </row>
    <row r="3">
      <c r="A3" t="inlineStr">
        <is>
          <t>Year to report on</t>
        </is>
      </c>
      <c r="B3" s="16">
        <f>YEAR(TODAY())</f>
        <v/>
      </c>
      <c r="D3" s="16" t="inlineStr">
        <is>
          <t>Software &amp; subscriptions</t>
        </is>
      </c>
    </row>
    <row r="4">
      <c r="A4" t="inlineStr">
        <is>
          <t>Tax set-aside rate</t>
        </is>
      </c>
      <c r="B4" s="17" t="n">
        <v>0.25</v>
      </c>
      <c r="D4" s="16" t="inlineStr">
        <is>
          <t>Equipment</t>
        </is>
      </c>
    </row>
    <row r="5">
      <c r="A5" t="inlineStr">
        <is>
          <t>Default payment terms (days)</t>
        </is>
      </c>
      <c r="B5" s="16" t="n">
        <v>30</v>
      </c>
      <c r="D5" s="16" t="inlineStr">
        <is>
          <t>Home office</t>
        </is>
      </c>
    </row>
    <row r="6">
      <c r="D6" s="16" t="inlineStr">
        <is>
          <t>Travel</t>
        </is>
      </c>
    </row>
    <row r="7">
      <c r="D7" s="16" t="inlineStr">
        <is>
          <t>Marketing</t>
        </is>
      </c>
    </row>
    <row r="8">
      <c r="D8" s="16" t="inlineStr">
        <is>
          <t>Professional fees</t>
        </is>
      </c>
    </row>
    <row r="9">
      <c r="D9" s="16" t="inlineStr">
        <is>
          <t>Education</t>
        </is>
      </c>
    </row>
    <row r="10">
      <c r="D10" s="16" t="inlineStr">
        <is>
          <t>Bank &amp; payment fees</t>
        </is>
      </c>
    </row>
    <row r="11">
      <c r="D11" s="16" t="inlineStr">
        <is>
          <t>Other</t>
        </is>
      </c>
    </row>
    <row r="12">
      <c r="D12" s="16" t="inlineStr">
        <is>
          <t>Custom 1</t>
        </is>
      </c>
    </row>
    <row r="13">
      <c r="D13" s="16" t="inlineStr">
        <is>
          <t>Custom 2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3" customWidth="1" min="4" max="4"/>
    <col width="13" customWidth="1" min="5" max="5"/>
    <col width="14" customWidth="1" min="6" max="6"/>
    <col width="13" customWidth="1" min="7" max="7"/>
    <col width="12" customWidth="1" min="8" max="8"/>
    <col width="14" customWidth="1" min="9" max="9"/>
  </cols>
  <sheetData>
    <row r="1" ht="30" customHeight="1">
      <c r="A1" s="8" t="inlineStr">
        <is>
          <t>Invoice #</t>
        </is>
      </c>
      <c r="B1" s="8" t="inlineStr">
        <is>
          <t>Client</t>
        </is>
      </c>
      <c r="C1" s="8" t="inlineStr">
        <is>
          <t>Description</t>
        </is>
      </c>
      <c r="D1" s="8" t="inlineStr">
        <is>
          <t>Issue date</t>
        </is>
      </c>
      <c r="E1" s="8" t="inlineStr">
        <is>
          <t>Due date</t>
        </is>
      </c>
      <c r="F1" s="8" t="inlineStr">
        <is>
          <t>Amount</t>
        </is>
      </c>
      <c r="G1" s="8" t="inlineStr">
        <is>
          <t>Date paid</t>
        </is>
      </c>
      <c r="H1" s="8" t="inlineStr">
        <is>
          <t>Status</t>
        </is>
      </c>
      <c r="I1" s="8" t="inlineStr">
        <is>
          <t>Days overdue</t>
        </is>
      </c>
    </row>
    <row r="2">
      <c r="A2" s="16" t="inlineStr">
        <is>
          <t>INV-001</t>
        </is>
      </c>
      <c r="B2" s="16" t="inlineStr">
        <is>
          <t>Northwind Studio</t>
        </is>
      </c>
      <c r="C2" s="16" t="inlineStr">
        <is>
          <t>Brand refresh, part 1</t>
        </is>
      </c>
      <c r="D2" s="18">
        <f>TODAY()-75</f>
        <v/>
      </c>
      <c r="E2" s="19">
        <f>IF(D2="","",D2+Settings!$B$5)</f>
        <v/>
      </c>
      <c r="F2" s="20" t="n">
        <v>1800</v>
      </c>
      <c r="G2" s="18">
        <f>TODAY()-30</f>
        <v/>
      </c>
      <c r="H2" s="12">
        <f>IF(F2="","",IF(G2&lt;&gt;"","Paid",IF(E2="","Sent",IF(E2&lt;TODAY(),"Overdue","Sent"))))</f>
        <v/>
      </c>
      <c r="I2" s="12">
        <f>IF(H2="Overdue",TODAY()-E2,"")</f>
        <v/>
      </c>
    </row>
    <row r="3">
      <c r="A3" s="16" t="inlineStr">
        <is>
          <t>INV-002</t>
        </is>
      </c>
      <c r="B3" s="16" t="inlineStr">
        <is>
          <t>Alder &amp; Finch</t>
        </is>
      </c>
      <c r="C3" s="16" t="inlineStr">
        <is>
          <t>Website copy</t>
        </is>
      </c>
      <c r="D3" s="18">
        <f>TODAY()-52</f>
        <v/>
      </c>
      <c r="E3" s="19">
        <f>IF(D3="","",D3+Settings!$B$5)</f>
        <v/>
      </c>
      <c r="F3" s="20" t="n">
        <v>950</v>
      </c>
      <c r="G3" s="18">
        <f>TODAY()-16</f>
        <v/>
      </c>
      <c r="H3" s="12">
        <f>IF(F3="","",IF(G3&lt;&gt;"","Paid",IF(E3="","Sent",IF(E3&lt;TODAY(),"Overdue","Sent"))))</f>
        <v/>
      </c>
      <c r="I3" s="12">
        <f>IF(H3="Overdue",TODAY()-E3,"")</f>
        <v/>
      </c>
    </row>
    <row r="4">
      <c r="A4" s="16" t="inlineStr">
        <is>
          <t>INV-003</t>
        </is>
      </c>
      <c r="B4" s="16" t="inlineStr">
        <is>
          <t>Kestrel Labs</t>
        </is>
      </c>
      <c r="C4" s="16" t="inlineStr">
        <is>
          <t>Monthly retainer</t>
        </is>
      </c>
      <c r="D4" s="18">
        <f>TODAY()-40</f>
        <v/>
      </c>
      <c r="E4" s="19">
        <f>IF(D4="","",D4+Settings!$B$5)</f>
        <v/>
      </c>
      <c r="F4" s="20" t="n">
        <v>2400</v>
      </c>
      <c r="G4" s="18" t="n"/>
      <c r="H4" s="12">
        <f>IF(F4="","",IF(G4&lt;&gt;"","Paid",IF(E4="","Sent",IF(E4&lt;TODAY(),"Overdue","Sent"))))</f>
        <v/>
      </c>
      <c r="I4" s="12">
        <f>IF(H4="Overdue",TODAY()-E4,"")</f>
        <v/>
      </c>
    </row>
    <row r="5">
      <c r="A5" s="16" t="inlineStr">
        <is>
          <t>INV-004</t>
        </is>
      </c>
      <c r="B5" s="16" t="inlineStr">
        <is>
          <t>Northwind Studio</t>
        </is>
      </c>
      <c r="C5" s="16" t="inlineStr">
        <is>
          <t>Brand refresh, part 2</t>
        </is>
      </c>
      <c r="D5" s="18">
        <f>TODAY()-12</f>
        <v/>
      </c>
      <c r="E5" s="19">
        <f>IF(D5="","",D5+Settings!$B$5)</f>
        <v/>
      </c>
      <c r="F5" s="20" t="n">
        <v>1800</v>
      </c>
      <c r="G5" s="18" t="n"/>
      <c r="H5" s="12">
        <f>IF(F5="","",IF(G5&lt;&gt;"","Paid",IF(E5="","Sent",IF(E5&lt;TODAY(),"Overdue","Sent"))))</f>
        <v/>
      </c>
      <c r="I5" s="12">
        <f>IF(H5="Overdue",TODAY()-E5,"")</f>
        <v/>
      </c>
    </row>
    <row r="6">
      <c r="A6" s="16" t="inlineStr">
        <is>
          <t>INV-005</t>
        </is>
      </c>
      <c r="B6" s="16" t="inlineStr">
        <is>
          <t>Bright Pantry</t>
        </is>
      </c>
      <c r="C6" s="16" t="inlineStr">
        <is>
          <t>Menu design</t>
        </is>
      </c>
      <c r="D6" s="18">
        <f>TODAY()-5</f>
        <v/>
      </c>
      <c r="E6" s="19">
        <f>IF(D6="","",D6+Settings!$B$5)</f>
        <v/>
      </c>
      <c r="F6" s="20" t="n">
        <v>400</v>
      </c>
      <c r="G6" s="18" t="n"/>
      <c r="H6" s="12">
        <f>IF(F6="","",IF(G6&lt;&gt;"","Paid",IF(E6="","Sent",IF(E6&lt;TODAY(),"Overdue","Sent"))))</f>
        <v/>
      </c>
      <c r="I6" s="12">
        <f>IF(H6="Overdue",TODAY()-E6,"")</f>
        <v/>
      </c>
    </row>
    <row r="7">
      <c r="A7" s="16" t="n"/>
      <c r="B7" s="16" t="n"/>
      <c r="C7" s="16" t="n"/>
      <c r="D7" s="18" t="n"/>
      <c r="E7" s="19">
        <f>IF(D7="","",D7+Settings!$B$5)</f>
        <v/>
      </c>
      <c r="F7" s="20" t="n"/>
      <c r="G7" s="18" t="n"/>
      <c r="H7" s="12">
        <f>IF(F7="","",IF(G7&lt;&gt;"","Paid",IF(E7="","Sent",IF(E7&lt;TODAY(),"Overdue","Sent"))))</f>
        <v/>
      </c>
      <c r="I7" s="12">
        <f>IF(H7="Overdue",TODAY()-E7,"")</f>
        <v/>
      </c>
    </row>
    <row r="8">
      <c r="A8" s="16" t="n"/>
      <c r="B8" s="16" t="n"/>
      <c r="C8" s="16" t="n"/>
      <c r="D8" s="18" t="n"/>
      <c r="E8" s="19">
        <f>IF(D8="","",D8+Settings!$B$5)</f>
        <v/>
      </c>
      <c r="F8" s="20" t="n"/>
      <c r="G8" s="18" t="n"/>
      <c r="H8" s="12">
        <f>IF(F8="","",IF(G8&lt;&gt;"","Paid",IF(E8="","Sent",IF(E8&lt;TODAY(),"Overdue","Sent"))))</f>
        <v/>
      </c>
      <c r="I8" s="12">
        <f>IF(H8="Overdue",TODAY()-E8,"")</f>
        <v/>
      </c>
    </row>
    <row r="9">
      <c r="A9" s="16" t="n"/>
      <c r="B9" s="16" t="n"/>
      <c r="C9" s="16" t="n"/>
      <c r="D9" s="18" t="n"/>
      <c r="E9" s="19">
        <f>IF(D9="","",D9+Settings!$B$5)</f>
        <v/>
      </c>
      <c r="F9" s="20" t="n"/>
      <c r="G9" s="18" t="n"/>
      <c r="H9" s="12">
        <f>IF(F9="","",IF(G9&lt;&gt;"","Paid",IF(E9="","Sent",IF(E9&lt;TODAY(),"Overdue","Sent"))))</f>
        <v/>
      </c>
      <c r="I9" s="12">
        <f>IF(H9="Overdue",TODAY()-E9,"")</f>
        <v/>
      </c>
    </row>
    <row r="10">
      <c r="A10" s="16" t="n"/>
      <c r="B10" s="16" t="n"/>
      <c r="C10" s="16" t="n"/>
      <c r="D10" s="18" t="n"/>
      <c r="E10" s="19">
        <f>IF(D10="","",D10+Settings!$B$5)</f>
        <v/>
      </c>
      <c r="F10" s="20" t="n"/>
      <c r="G10" s="18" t="n"/>
      <c r="H10" s="12">
        <f>IF(F10="","",IF(G10&lt;&gt;"","Paid",IF(E10="","Sent",IF(E10&lt;TODAY(),"Overdue","Sent"))))</f>
        <v/>
      </c>
      <c r="I10" s="12">
        <f>IF(H10="Overdue",TODAY()-E10,"")</f>
        <v/>
      </c>
    </row>
    <row r="11">
      <c r="A11" s="16" t="n"/>
      <c r="B11" s="16" t="n"/>
      <c r="C11" s="16" t="n"/>
      <c r="D11" s="18" t="n"/>
      <c r="E11" s="19">
        <f>IF(D11="","",D11+Settings!$B$5)</f>
        <v/>
      </c>
      <c r="F11" s="20" t="n"/>
      <c r="G11" s="18" t="n"/>
      <c r="H11" s="12">
        <f>IF(F11="","",IF(G11&lt;&gt;"","Paid",IF(E11="","Sent",IF(E11&lt;TODAY(),"Overdue","Sent"))))</f>
        <v/>
      </c>
      <c r="I11" s="12">
        <f>IF(H11="Overdue",TODAY()-E11,"")</f>
        <v/>
      </c>
    </row>
    <row r="12">
      <c r="A12" s="16" t="n"/>
      <c r="B12" s="16" t="n"/>
      <c r="C12" s="16" t="n"/>
      <c r="D12" s="18" t="n"/>
      <c r="E12" s="19">
        <f>IF(D12="","",D12+Settings!$B$5)</f>
        <v/>
      </c>
      <c r="F12" s="20" t="n"/>
      <c r="G12" s="18" t="n"/>
      <c r="H12" s="12">
        <f>IF(F12="","",IF(G12&lt;&gt;"","Paid",IF(E12="","Sent",IF(E12&lt;TODAY(),"Overdue","Sent"))))</f>
        <v/>
      </c>
      <c r="I12" s="12">
        <f>IF(H12="Overdue",TODAY()-E12,"")</f>
        <v/>
      </c>
    </row>
    <row r="13">
      <c r="A13" s="16" t="n"/>
      <c r="B13" s="16" t="n"/>
      <c r="C13" s="16" t="n"/>
      <c r="D13" s="18" t="n"/>
      <c r="E13" s="19">
        <f>IF(D13="","",D13+Settings!$B$5)</f>
        <v/>
      </c>
      <c r="F13" s="20" t="n"/>
      <c r="G13" s="18" t="n"/>
      <c r="H13" s="12">
        <f>IF(F13="","",IF(G13&lt;&gt;"","Paid",IF(E13="","Sent",IF(E13&lt;TODAY(),"Overdue","Sent"))))</f>
        <v/>
      </c>
      <c r="I13" s="12">
        <f>IF(H13="Overdue",TODAY()-E13,"")</f>
        <v/>
      </c>
    </row>
    <row r="14">
      <c r="A14" s="16" t="n"/>
      <c r="B14" s="16" t="n"/>
      <c r="C14" s="16" t="n"/>
      <c r="D14" s="18" t="n"/>
      <c r="E14" s="19">
        <f>IF(D14="","",D14+Settings!$B$5)</f>
        <v/>
      </c>
      <c r="F14" s="20" t="n"/>
      <c r="G14" s="18" t="n"/>
      <c r="H14" s="12">
        <f>IF(F14="","",IF(G14&lt;&gt;"","Paid",IF(E14="","Sent",IF(E14&lt;TODAY(),"Overdue","Sent"))))</f>
        <v/>
      </c>
      <c r="I14" s="12">
        <f>IF(H14="Overdue",TODAY()-E14,"")</f>
        <v/>
      </c>
    </row>
    <row r="15">
      <c r="A15" s="16" t="n"/>
      <c r="B15" s="16" t="n"/>
      <c r="C15" s="16" t="n"/>
      <c r="D15" s="18" t="n"/>
      <c r="E15" s="19">
        <f>IF(D15="","",D15+Settings!$B$5)</f>
        <v/>
      </c>
      <c r="F15" s="20" t="n"/>
      <c r="G15" s="18" t="n"/>
      <c r="H15" s="12">
        <f>IF(F15="","",IF(G15&lt;&gt;"","Paid",IF(E15="","Sent",IF(E15&lt;TODAY(),"Overdue","Sent"))))</f>
        <v/>
      </c>
      <c r="I15" s="12">
        <f>IF(H15="Overdue",TODAY()-E15,"")</f>
        <v/>
      </c>
    </row>
    <row r="16">
      <c r="A16" s="16" t="n"/>
      <c r="B16" s="16" t="n"/>
      <c r="C16" s="16" t="n"/>
      <c r="D16" s="18" t="n"/>
      <c r="E16" s="19">
        <f>IF(D16="","",D16+Settings!$B$5)</f>
        <v/>
      </c>
      <c r="F16" s="20" t="n"/>
      <c r="G16" s="18" t="n"/>
      <c r="H16" s="12">
        <f>IF(F16="","",IF(G16&lt;&gt;"","Paid",IF(E16="","Sent",IF(E16&lt;TODAY(),"Overdue","Sent"))))</f>
        <v/>
      </c>
      <c r="I16" s="12">
        <f>IF(H16="Overdue",TODAY()-E16,"")</f>
        <v/>
      </c>
    </row>
    <row r="17">
      <c r="A17" s="16" t="n"/>
      <c r="B17" s="16" t="n"/>
      <c r="C17" s="16" t="n"/>
      <c r="D17" s="18" t="n"/>
      <c r="E17" s="19">
        <f>IF(D17="","",D17+Settings!$B$5)</f>
        <v/>
      </c>
      <c r="F17" s="20" t="n"/>
      <c r="G17" s="18" t="n"/>
      <c r="H17" s="12">
        <f>IF(F17="","",IF(G17&lt;&gt;"","Paid",IF(E17="","Sent",IF(E17&lt;TODAY(),"Overdue","Sent"))))</f>
        <v/>
      </c>
      <c r="I17" s="12">
        <f>IF(H17="Overdue",TODAY()-E17,"")</f>
        <v/>
      </c>
    </row>
    <row r="18">
      <c r="A18" s="16" t="n"/>
      <c r="B18" s="16" t="n"/>
      <c r="C18" s="16" t="n"/>
      <c r="D18" s="18" t="n"/>
      <c r="E18" s="19">
        <f>IF(D18="","",D18+Settings!$B$5)</f>
        <v/>
      </c>
      <c r="F18" s="20" t="n"/>
      <c r="G18" s="18" t="n"/>
      <c r="H18" s="12">
        <f>IF(F18="","",IF(G18&lt;&gt;"","Paid",IF(E18="","Sent",IF(E18&lt;TODAY(),"Overdue","Sent"))))</f>
        <v/>
      </c>
      <c r="I18" s="12">
        <f>IF(H18="Overdue",TODAY()-E18,"")</f>
        <v/>
      </c>
    </row>
    <row r="19">
      <c r="A19" s="16" t="n"/>
      <c r="B19" s="16" t="n"/>
      <c r="C19" s="16" t="n"/>
      <c r="D19" s="18" t="n"/>
      <c r="E19" s="19">
        <f>IF(D19="","",D19+Settings!$B$5)</f>
        <v/>
      </c>
      <c r="F19" s="20" t="n"/>
      <c r="G19" s="18" t="n"/>
      <c r="H19" s="12">
        <f>IF(F19="","",IF(G19&lt;&gt;"","Paid",IF(E19="","Sent",IF(E19&lt;TODAY(),"Overdue","Sent"))))</f>
        <v/>
      </c>
      <c r="I19" s="12">
        <f>IF(H19="Overdue",TODAY()-E19,"")</f>
        <v/>
      </c>
    </row>
    <row r="20">
      <c r="A20" s="16" t="n"/>
      <c r="B20" s="16" t="n"/>
      <c r="C20" s="16" t="n"/>
      <c r="D20" s="18" t="n"/>
      <c r="E20" s="19">
        <f>IF(D20="","",D20+Settings!$B$5)</f>
        <v/>
      </c>
      <c r="F20" s="20" t="n"/>
      <c r="G20" s="18" t="n"/>
      <c r="H20" s="12">
        <f>IF(F20="","",IF(G20&lt;&gt;"","Paid",IF(E20="","Sent",IF(E20&lt;TODAY(),"Overdue","Sent"))))</f>
        <v/>
      </c>
      <c r="I20" s="12">
        <f>IF(H20="Overdue",TODAY()-E20,"")</f>
        <v/>
      </c>
    </row>
    <row r="21">
      <c r="A21" s="16" t="n"/>
      <c r="B21" s="16" t="n"/>
      <c r="C21" s="16" t="n"/>
      <c r="D21" s="18" t="n"/>
      <c r="E21" s="19">
        <f>IF(D21="","",D21+Settings!$B$5)</f>
        <v/>
      </c>
      <c r="F21" s="20" t="n"/>
      <c r="G21" s="18" t="n"/>
      <c r="H21" s="12">
        <f>IF(F21="","",IF(G21&lt;&gt;"","Paid",IF(E21="","Sent",IF(E21&lt;TODAY(),"Overdue","Sent"))))</f>
        <v/>
      </c>
      <c r="I21" s="12">
        <f>IF(H21="Overdue",TODAY()-E21,"")</f>
        <v/>
      </c>
    </row>
    <row r="22">
      <c r="A22" s="16" t="n"/>
      <c r="B22" s="16" t="n"/>
      <c r="C22" s="16" t="n"/>
      <c r="D22" s="18" t="n"/>
      <c r="E22" s="19">
        <f>IF(D22="","",D22+Settings!$B$5)</f>
        <v/>
      </c>
      <c r="F22" s="20" t="n"/>
      <c r="G22" s="18" t="n"/>
      <c r="H22" s="12">
        <f>IF(F22="","",IF(G22&lt;&gt;"","Paid",IF(E22="","Sent",IF(E22&lt;TODAY(),"Overdue","Sent"))))</f>
        <v/>
      </c>
      <c r="I22" s="12">
        <f>IF(H22="Overdue",TODAY()-E22,"")</f>
        <v/>
      </c>
    </row>
    <row r="23">
      <c r="A23" s="16" t="n"/>
      <c r="B23" s="16" t="n"/>
      <c r="C23" s="16" t="n"/>
      <c r="D23" s="18" t="n"/>
      <c r="E23" s="19">
        <f>IF(D23="","",D23+Settings!$B$5)</f>
        <v/>
      </c>
      <c r="F23" s="20" t="n"/>
      <c r="G23" s="18" t="n"/>
      <c r="H23" s="12">
        <f>IF(F23="","",IF(G23&lt;&gt;"","Paid",IF(E23="","Sent",IF(E23&lt;TODAY(),"Overdue","Sent"))))</f>
        <v/>
      </c>
      <c r="I23" s="12">
        <f>IF(H23="Overdue",TODAY()-E23,"")</f>
        <v/>
      </c>
    </row>
    <row r="24">
      <c r="A24" s="16" t="n"/>
      <c r="B24" s="16" t="n"/>
      <c r="C24" s="16" t="n"/>
      <c r="D24" s="18" t="n"/>
      <c r="E24" s="19">
        <f>IF(D24="","",D24+Settings!$B$5)</f>
        <v/>
      </c>
      <c r="F24" s="20" t="n"/>
      <c r="G24" s="18" t="n"/>
      <c r="H24" s="12">
        <f>IF(F24="","",IF(G24&lt;&gt;"","Paid",IF(E24="","Sent",IF(E24&lt;TODAY(),"Overdue","Sent"))))</f>
        <v/>
      </c>
      <c r="I24" s="12">
        <f>IF(H24="Overdue",TODAY()-E24,"")</f>
        <v/>
      </c>
    </row>
    <row r="25">
      <c r="A25" s="16" t="n"/>
      <c r="B25" s="16" t="n"/>
      <c r="C25" s="16" t="n"/>
      <c r="D25" s="18" t="n"/>
      <c r="E25" s="19">
        <f>IF(D25="","",D25+Settings!$B$5)</f>
        <v/>
      </c>
      <c r="F25" s="20" t="n"/>
      <c r="G25" s="18" t="n"/>
      <c r="H25" s="12">
        <f>IF(F25="","",IF(G25&lt;&gt;"","Paid",IF(E25="","Sent",IF(E25&lt;TODAY(),"Overdue","Sent"))))</f>
        <v/>
      </c>
      <c r="I25" s="12">
        <f>IF(H25="Overdue",TODAY()-E25,"")</f>
        <v/>
      </c>
    </row>
    <row r="26">
      <c r="A26" s="16" t="n"/>
      <c r="B26" s="16" t="n"/>
      <c r="C26" s="16" t="n"/>
      <c r="D26" s="18" t="n"/>
      <c r="E26" s="19">
        <f>IF(D26="","",D26+Settings!$B$5)</f>
        <v/>
      </c>
      <c r="F26" s="20" t="n"/>
      <c r="G26" s="18" t="n"/>
      <c r="H26" s="12">
        <f>IF(F26="","",IF(G26&lt;&gt;"","Paid",IF(E26="","Sent",IF(E26&lt;TODAY(),"Overdue","Sent"))))</f>
        <v/>
      </c>
      <c r="I26" s="12">
        <f>IF(H26="Overdue",TODAY()-E26,"")</f>
        <v/>
      </c>
    </row>
    <row r="27">
      <c r="A27" s="16" t="n"/>
      <c r="B27" s="16" t="n"/>
      <c r="C27" s="16" t="n"/>
      <c r="D27" s="18" t="n"/>
      <c r="E27" s="19">
        <f>IF(D27="","",D27+Settings!$B$5)</f>
        <v/>
      </c>
      <c r="F27" s="20" t="n"/>
      <c r="G27" s="18" t="n"/>
      <c r="H27" s="12">
        <f>IF(F27="","",IF(G27&lt;&gt;"","Paid",IF(E27="","Sent",IF(E27&lt;TODAY(),"Overdue","Sent"))))</f>
        <v/>
      </c>
      <c r="I27" s="12">
        <f>IF(H27="Overdue",TODAY()-E27,"")</f>
        <v/>
      </c>
    </row>
    <row r="28">
      <c r="A28" s="16" t="n"/>
      <c r="B28" s="16" t="n"/>
      <c r="C28" s="16" t="n"/>
      <c r="D28" s="18" t="n"/>
      <c r="E28" s="19">
        <f>IF(D28="","",D28+Settings!$B$5)</f>
        <v/>
      </c>
      <c r="F28" s="20" t="n"/>
      <c r="G28" s="18" t="n"/>
      <c r="H28" s="12">
        <f>IF(F28="","",IF(G28&lt;&gt;"","Paid",IF(E28="","Sent",IF(E28&lt;TODAY(),"Overdue","Sent"))))</f>
        <v/>
      </c>
      <c r="I28" s="12">
        <f>IF(H28="Overdue",TODAY()-E28,"")</f>
        <v/>
      </c>
    </row>
    <row r="29">
      <c r="A29" s="16" t="n"/>
      <c r="B29" s="16" t="n"/>
      <c r="C29" s="16" t="n"/>
      <c r="D29" s="18" t="n"/>
      <c r="E29" s="19">
        <f>IF(D29="","",D29+Settings!$B$5)</f>
        <v/>
      </c>
      <c r="F29" s="20" t="n"/>
      <c r="G29" s="18" t="n"/>
      <c r="H29" s="12">
        <f>IF(F29="","",IF(G29&lt;&gt;"","Paid",IF(E29="","Sent",IF(E29&lt;TODAY(),"Overdue","Sent"))))</f>
        <v/>
      </c>
      <c r="I29" s="12">
        <f>IF(H29="Overdue",TODAY()-E29,"")</f>
        <v/>
      </c>
    </row>
    <row r="30">
      <c r="A30" s="16" t="n"/>
      <c r="B30" s="16" t="n"/>
      <c r="C30" s="16" t="n"/>
      <c r="D30" s="18" t="n"/>
      <c r="E30" s="19">
        <f>IF(D30="","",D30+Settings!$B$5)</f>
        <v/>
      </c>
      <c r="F30" s="20" t="n"/>
      <c r="G30" s="18" t="n"/>
      <c r="H30" s="12">
        <f>IF(F30="","",IF(G30&lt;&gt;"","Paid",IF(E30="","Sent",IF(E30&lt;TODAY(),"Overdue","Sent"))))</f>
        <v/>
      </c>
      <c r="I30" s="12">
        <f>IF(H30="Overdue",TODAY()-E30,"")</f>
        <v/>
      </c>
    </row>
    <row r="31">
      <c r="A31" s="16" t="n"/>
      <c r="B31" s="16" t="n"/>
      <c r="C31" s="16" t="n"/>
      <c r="D31" s="18" t="n"/>
      <c r="E31" s="19">
        <f>IF(D31="","",D31+Settings!$B$5)</f>
        <v/>
      </c>
      <c r="F31" s="20" t="n"/>
      <c r="G31" s="18" t="n"/>
      <c r="H31" s="12">
        <f>IF(F31="","",IF(G31&lt;&gt;"","Paid",IF(E31="","Sent",IF(E31&lt;TODAY(),"Overdue","Sent"))))</f>
        <v/>
      </c>
      <c r="I31" s="12">
        <f>IF(H31="Overdue",TODAY()-E31,"")</f>
        <v/>
      </c>
    </row>
    <row r="32">
      <c r="A32" s="16" t="n"/>
      <c r="B32" s="16" t="n"/>
      <c r="C32" s="16" t="n"/>
      <c r="D32" s="18" t="n"/>
      <c r="E32" s="19">
        <f>IF(D32="","",D32+Settings!$B$5)</f>
        <v/>
      </c>
      <c r="F32" s="20" t="n"/>
      <c r="G32" s="18" t="n"/>
      <c r="H32" s="12">
        <f>IF(F32="","",IF(G32&lt;&gt;"","Paid",IF(E32="","Sent",IF(E32&lt;TODAY(),"Overdue","Sent"))))</f>
        <v/>
      </c>
      <c r="I32" s="12">
        <f>IF(H32="Overdue",TODAY()-E32,"")</f>
        <v/>
      </c>
    </row>
    <row r="33">
      <c r="A33" s="16" t="n"/>
      <c r="B33" s="16" t="n"/>
      <c r="C33" s="16" t="n"/>
      <c r="D33" s="18" t="n"/>
      <c r="E33" s="19">
        <f>IF(D33="","",D33+Settings!$B$5)</f>
        <v/>
      </c>
      <c r="F33" s="20" t="n"/>
      <c r="G33" s="18" t="n"/>
      <c r="H33" s="12">
        <f>IF(F33="","",IF(G33&lt;&gt;"","Paid",IF(E33="","Sent",IF(E33&lt;TODAY(),"Overdue","Sent"))))</f>
        <v/>
      </c>
      <c r="I33" s="12">
        <f>IF(H33="Overdue",TODAY()-E33,"")</f>
        <v/>
      </c>
    </row>
    <row r="34">
      <c r="A34" s="16" t="n"/>
      <c r="B34" s="16" t="n"/>
      <c r="C34" s="16" t="n"/>
      <c r="D34" s="18" t="n"/>
      <c r="E34" s="19">
        <f>IF(D34="","",D34+Settings!$B$5)</f>
        <v/>
      </c>
      <c r="F34" s="20" t="n"/>
      <c r="G34" s="18" t="n"/>
      <c r="H34" s="12">
        <f>IF(F34="","",IF(G34&lt;&gt;"","Paid",IF(E34="","Sent",IF(E34&lt;TODAY(),"Overdue","Sent"))))</f>
        <v/>
      </c>
      <c r="I34" s="12">
        <f>IF(H34="Overdue",TODAY()-E34,"")</f>
        <v/>
      </c>
    </row>
    <row r="35">
      <c r="A35" s="16" t="n"/>
      <c r="B35" s="16" t="n"/>
      <c r="C35" s="16" t="n"/>
      <c r="D35" s="18" t="n"/>
      <c r="E35" s="19">
        <f>IF(D35="","",D35+Settings!$B$5)</f>
        <v/>
      </c>
      <c r="F35" s="20" t="n"/>
      <c r="G35" s="18" t="n"/>
      <c r="H35" s="12">
        <f>IF(F35="","",IF(G35&lt;&gt;"","Paid",IF(E35="","Sent",IF(E35&lt;TODAY(),"Overdue","Sent"))))</f>
        <v/>
      </c>
      <c r="I35" s="12">
        <f>IF(H35="Overdue",TODAY()-E35,"")</f>
        <v/>
      </c>
    </row>
    <row r="36">
      <c r="A36" s="16" t="n"/>
      <c r="B36" s="16" t="n"/>
      <c r="C36" s="16" t="n"/>
      <c r="D36" s="18" t="n"/>
      <c r="E36" s="19">
        <f>IF(D36="","",D36+Settings!$B$5)</f>
        <v/>
      </c>
      <c r="F36" s="20" t="n"/>
      <c r="G36" s="18" t="n"/>
      <c r="H36" s="12">
        <f>IF(F36="","",IF(G36&lt;&gt;"","Paid",IF(E36="","Sent",IF(E36&lt;TODAY(),"Overdue","Sent"))))</f>
        <v/>
      </c>
      <c r="I36" s="12">
        <f>IF(H36="Overdue",TODAY()-E36,"")</f>
        <v/>
      </c>
    </row>
    <row r="37">
      <c r="A37" s="16" t="n"/>
      <c r="B37" s="16" t="n"/>
      <c r="C37" s="16" t="n"/>
      <c r="D37" s="18" t="n"/>
      <c r="E37" s="19">
        <f>IF(D37="","",D37+Settings!$B$5)</f>
        <v/>
      </c>
      <c r="F37" s="20" t="n"/>
      <c r="G37" s="18" t="n"/>
      <c r="H37" s="12">
        <f>IF(F37="","",IF(G37&lt;&gt;"","Paid",IF(E37="","Sent",IF(E37&lt;TODAY(),"Overdue","Sent"))))</f>
        <v/>
      </c>
      <c r="I37" s="12">
        <f>IF(H37="Overdue",TODAY()-E37,"")</f>
        <v/>
      </c>
    </row>
    <row r="38">
      <c r="A38" s="16" t="n"/>
      <c r="B38" s="16" t="n"/>
      <c r="C38" s="16" t="n"/>
      <c r="D38" s="18" t="n"/>
      <c r="E38" s="19">
        <f>IF(D38="","",D38+Settings!$B$5)</f>
        <v/>
      </c>
      <c r="F38" s="20" t="n"/>
      <c r="G38" s="18" t="n"/>
      <c r="H38" s="12">
        <f>IF(F38="","",IF(G38&lt;&gt;"","Paid",IF(E38="","Sent",IF(E38&lt;TODAY(),"Overdue","Sent"))))</f>
        <v/>
      </c>
      <c r="I38" s="12">
        <f>IF(H38="Overdue",TODAY()-E38,"")</f>
        <v/>
      </c>
    </row>
    <row r="39">
      <c r="A39" s="16" t="n"/>
      <c r="B39" s="16" t="n"/>
      <c r="C39" s="16" t="n"/>
      <c r="D39" s="18" t="n"/>
      <c r="E39" s="19">
        <f>IF(D39="","",D39+Settings!$B$5)</f>
        <v/>
      </c>
      <c r="F39" s="20" t="n"/>
      <c r="G39" s="18" t="n"/>
      <c r="H39" s="12">
        <f>IF(F39="","",IF(G39&lt;&gt;"","Paid",IF(E39="","Sent",IF(E39&lt;TODAY(),"Overdue","Sent"))))</f>
        <v/>
      </c>
      <c r="I39" s="12">
        <f>IF(H39="Overdue",TODAY()-E39,"")</f>
        <v/>
      </c>
    </row>
    <row r="40">
      <c r="A40" s="16" t="n"/>
      <c r="B40" s="16" t="n"/>
      <c r="C40" s="16" t="n"/>
      <c r="D40" s="18" t="n"/>
      <c r="E40" s="19">
        <f>IF(D40="","",D40+Settings!$B$5)</f>
        <v/>
      </c>
      <c r="F40" s="20" t="n"/>
      <c r="G40" s="18" t="n"/>
      <c r="H40" s="12">
        <f>IF(F40="","",IF(G40&lt;&gt;"","Paid",IF(E40="","Sent",IF(E40&lt;TODAY(),"Overdue","Sent"))))</f>
        <v/>
      </c>
      <c r="I40" s="12">
        <f>IF(H40="Overdue",TODAY()-E40,"")</f>
        <v/>
      </c>
    </row>
    <row r="41">
      <c r="A41" s="16" t="n"/>
      <c r="B41" s="16" t="n"/>
      <c r="C41" s="16" t="n"/>
      <c r="D41" s="18" t="n"/>
      <c r="E41" s="19">
        <f>IF(D41="","",D41+Settings!$B$5)</f>
        <v/>
      </c>
      <c r="F41" s="20" t="n"/>
      <c r="G41" s="18" t="n"/>
      <c r="H41" s="12">
        <f>IF(F41="","",IF(G41&lt;&gt;"","Paid",IF(E41="","Sent",IF(E41&lt;TODAY(),"Overdue","Sent"))))</f>
        <v/>
      </c>
      <c r="I41" s="12">
        <f>IF(H41="Overdue",TODAY()-E41,"")</f>
        <v/>
      </c>
    </row>
    <row r="42">
      <c r="A42" s="16" t="n"/>
      <c r="B42" s="16" t="n"/>
      <c r="C42" s="16" t="n"/>
      <c r="D42" s="18" t="n"/>
      <c r="E42" s="19">
        <f>IF(D42="","",D42+Settings!$B$5)</f>
        <v/>
      </c>
      <c r="F42" s="20" t="n"/>
      <c r="G42" s="18" t="n"/>
      <c r="H42" s="12">
        <f>IF(F42="","",IF(G42&lt;&gt;"","Paid",IF(E42="","Sent",IF(E42&lt;TODAY(),"Overdue","Sent"))))</f>
        <v/>
      </c>
      <c r="I42" s="12">
        <f>IF(H42="Overdue",TODAY()-E42,"")</f>
        <v/>
      </c>
    </row>
    <row r="43">
      <c r="A43" s="16" t="n"/>
      <c r="B43" s="16" t="n"/>
      <c r="C43" s="16" t="n"/>
      <c r="D43" s="18" t="n"/>
      <c r="E43" s="19">
        <f>IF(D43="","",D43+Settings!$B$5)</f>
        <v/>
      </c>
      <c r="F43" s="20" t="n"/>
      <c r="G43" s="18" t="n"/>
      <c r="H43" s="12">
        <f>IF(F43="","",IF(G43&lt;&gt;"","Paid",IF(E43="","Sent",IF(E43&lt;TODAY(),"Overdue","Sent"))))</f>
        <v/>
      </c>
      <c r="I43" s="12">
        <f>IF(H43="Overdue",TODAY()-E43,"")</f>
        <v/>
      </c>
    </row>
    <row r="44">
      <c r="A44" s="16" t="n"/>
      <c r="B44" s="16" t="n"/>
      <c r="C44" s="16" t="n"/>
      <c r="D44" s="18" t="n"/>
      <c r="E44" s="19">
        <f>IF(D44="","",D44+Settings!$B$5)</f>
        <v/>
      </c>
      <c r="F44" s="20" t="n"/>
      <c r="G44" s="18" t="n"/>
      <c r="H44" s="12">
        <f>IF(F44="","",IF(G44&lt;&gt;"","Paid",IF(E44="","Sent",IF(E44&lt;TODAY(),"Overdue","Sent"))))</f>
        <v/>
      </c>
      <c r="I44" s="12">
        <f>IF(H44="Overdue",TODAY()-E44,"")</f>
        <v/>
      </c>
    </row>
    <row r="45">
      <c r="A45" s="16" t="n"/>
      <c r="B45" s="16" t="n"/>
      <c r="C45" s="16" t="n"/>
      <c r="D45" s="18" t="n"/>
      <c r="E45" s="19">
        <f>IF(D45="","",D45+Settings!$B$5)</f>
        <v/>
      </c>
      <c r="F45" s="20" t="n"/>
      <c r="G45" s="18" t="n"/>
      <c r="H45" s="12">
        <f>IF(F45="","",IF(G45&lt;&gt;"","Paid",IF(E45="","Sent",IF(E45&lt;TODAY(),"Overdue","Sent"))))</f>
        <v/>
      </c>
      <c r="I45" s="12">
        <f>IF(H45="Overdue",TODAY()-E45,"")</f>
        <v/>
      </c>
    </row>
    <row r="46">
      <c r="A46" s="16" t="n"/>
      <c r="B46" s="16" t="n"/>
      <c r="C46" s="16" t="n"/>
      <c r="D46" s="18" t="n"/>
      <c r="E46" s="19">
        <f>IF(D46="","",D46+Settings!$B$5)</f>
        <v/>
      </c>
      <c r="F46" s="20" t="n"/>
      <c r="G46" s="18" t="n"/>
      <c r="H46" s="12">
        <f>IF(F46="","",IF(G46&lt;&gt;"","Paid",IF(E46="","Sent",IF(E46&lt;TODAY(),"Overdue","Sent"))))</f>
        <v/>
      </c>
      <c r="I46" s="12">
        <f>IF(H46="Overdue",TODAY()-E46,"")</f>
        <v/>
      </c>
    </row>
    <row r="47">
      <c r="A47" s="16" t="n"/>
      <c r="B47" s="16" t="n"/>
      <c r="C47" s="16" t="n"/>
      <c r="D47" s="18" t="n"/>
      <c r="E47" s="19">
        <f>IF(D47="","",D47+Settings!$B$5)</f>
        <v/>
      </c>
      <c r="F47" s="20" t="n"/>
      <c r="G47" s="18" t="n"/>
      <c r="H47" s="12">
        <f>IF(F47="","",IF(G47&lt;&gt;"","Paid",IF(E47="","Sent",IF(E47&lt;TODAY(),"Overdue","Sent"))))</f>
        <v/>
      </c>
      <c r="I47" s="12">
        <f>IF(H47="Overdue",TODAY()-E47,"")</f>
        <v/>
      </c>
    </row>
    <row r="48">
      <c r="A48" s="16" t="n"/>
      <c r="B48" s="16" t="n"/>
      <c r="C48" s="16" t="n"/>
      <c r="D48" s="18" t="n"/>
      <c r="E48" s="19">
        <f>IF(D48="","",D48+Settings!$B$5)</f>
        <v/>
      </c>
      <c r="F48" s="20" t="n"/>
      <c r="G48" s="18" t="n"/>
      <c r="H48" s="12">
        <f>IF(F48="","",IF(G48&lt;&gt;"","Paid",IF(E48="","Sent",IF(E48&lt;TODAY(),"Overdue","Sent"))))</f>
        <v/>
      </c>
      <c r="I48" s="12">
        <f>IF(H48="Overdue",TODAY()-E48,"")</f>
        <v/>
      </c>
    </row>
    <row r="49">
      <c r="A49" s="16" t="n"/>
      <c r="B49" s="16" t="n"/>
      <c r="C49" s="16" t="n"/>
      <c r="D49" s="18" t="n"/>
      <c r="E49" s="19">
        <f>IF(D49="","",D49+Settings!$B$5)</f>
        <v/>
      </c>
      <c r="F49" s="20" t="n"/>
      <c r="G49" s="18" t="n"/>
      <c r="H49" s="12">
        <f>IF(F49="","",IF(G49&lt;&gt;"","Paid",IF(E49="","Sent",IF(E49&lt;TODAY(),"Overdue","Sent"))))</f>
        <v/>
      </c>
      <c r="I49" s="12">
        <f>IF(H49="Overdue",TODAY()-E49,"")</f>
        <v/>
      </c>
    </row>
    <row r="50">
      <c r="A50" s="16" t="n"/>
      <c r="B50" s="16" t="n"/>
      <c r="C50" s="16" t="n"/>
      <c r="D50" s="18" t="n"/>
      <c r="E50" s="19">
        <f>IF(D50="","",D50+Settings!$B$5)</f>
        <v/>
      </c>
      <c r="F50" s="20" t="n"/>
      <c r="G50" s="18" t="n"/>
      <c r="H50" s="12">
        <f>IF(F50="","",IF(G50&lt;&gt;"","Paid",IF(E50="","Sent",IF(E50&lt;TODAY(),"Overdue","Sent"))))</f>
        <v/>
      </c>
      <c r="I50" s="12">
        <f>IF(H50="Overdue",TODAY()-E50,"")</f>
        <v/>
      </c>
    </row>
    <row r="51">
      <c r="A51" s="16" t="n"/>
      <c r="B51" s="16" t="n"/>
      <c r="C51" s="16" t="n"/>
      <c r="D51" s="18" t="n"/>
      <c r="E51" s="19">
        <f>IF(D51="","",D51+Settings!$B$5)</f>
        <v/>
      </c>
      <c r="F51" s="20" t="n"/>
      <c r="G51" s="18" t="n"/>
      <c r="H51" s="12">
        <f>IF(F51="","",IF(G51&lt;&gt;"","Paid",IF(E51="","Sent",IF(E51&lt;TODAY(),"Overdue","Sent"))))</f>
        <v/>
      </c>
      <c r="I51" s="12">
        <f>IF(H51="Overdue",TODAY()-E51,"")</f>
        <v/>
      </c>
    </row>
    <row r="52">
      <c r="A52" s="16" t="n"/>
      <c r="B52" s="16" t="n"/>
      <c r="C52" s="16" t="n"/>
      <c r="D52" s="18" t="n"/>
      <c r="E52" s="19">
        <f>IF(D52="","",D52+Settings!$B$5)</f>
        <v/>
      </c>
      <c r="F52" s="20" t="n"/>
      <c r="G52" s="18" t="n"/>
      <c r="H52" s="12">
        <f>IF(F52="","",IF(G52&lt;&gt;"","Paid",IF(E52="","Sent",IF(E52&lt;TODAY(),"Overdue","Sent"))))</f>
        <v/>
      </c>
      <c r="I52" s="12">
        <f>IF(H52="Overdue",TODAY()-E52,"")</f>
        <v/>
      </c>
    </row>
    <row r="53">
      <c r="A53" s="16" t="n"/>
      <c r="B53" s="16" t="n"/>
      <c r="C53" s="16" t="n"/>
      <c r="D53" s="18" t="n"/>
      <c r="E53" s="19">
        <f>IF(D53="","",D53+Settings!$B$5)</f>
        <v/>
      </c>
      <c r="F53" s="20" t="n"/>
      <c r="G53" s="18" t="n"/>
      <c r="H53" s="12">
        <f>IF(F53="","",IF(G53&lt;&gt;"","Paid",IF(E53="","Sent",IF(E53&lt;TODAY(),"Overdue","Sent"))))</f>
        <v/>
      </c>
      <c r="I53" s="12">
        <f>IF(H53="Overdue",TODAY()-E53,"")</f>
        <v/>
      </c>
    </row>
    <row r="54">
      <c r="A54" s="16" t="n"/>
      <c r="B54" s="16" t="n"/>
      <c r="C54" s="16" t="n"/>
      <c r="D54" s="18" t="n"/>
      <c r="E54" s="19">
        <f>IF(D54="","",D54+Settings!$B$5)</f>
        <v/>
      </c>
      <c r="F54" s="20" t="n"/>
      <c r="G54" s="18" t="n"/>
      <c r="H54" s="12">
        <f>IF(F54="","",IF(G54&lt;&gt;"","Paid",IF(E54="","Sent",IF(E54&lt;TODAY(),"Overdue","Sent"))))</f>
        <v/>
      </c>
      <c r="I54" s="12">
        <f>IF(H54="Overdue",TODAY()-E54,"")</f>
        <v/>
      </c>
    </row>
    <row r="55">
      <c r="A55" s="16" t="n"/>
      <c r="B55" s="16" t="n"/>
      <c r="C55" s="16" t="n"/>
      <c r="D55" s="18" t="n"/>
      <c r="E55" s="19">
        <f>IF(D55="","",D55+Settings!$B$5)</f>
        <v/>
      </c>
      <c r="F55" s="20" t="n"/>
      <c r="G55" s="18" t="n"/>
      <c r="H55" s="12">
        <f>IF(F55="","",IF(G55&lt;&gt;"","Paid",IF(E55="","Sent",IF(E55&lt;TODAY(),"Overdue","Sent"))))</f>
        <v/>
      </c>
      <c r="I55" s="12">
        <f>IF(H55="Overdue",TODAY()-E55,"")</f>
        <v/>
      </c>
    </row>
    <row r="56">
      <c r="A56" s="16" t="n"/>
      <c r="B56" s="16" t="n"/>
      <c r="C56" s="16" t="n"/>
      <c r="D56" s="18" t="n"/>
      <c r="E56" s="19">
        <f>IF(D56="","",D56+Settings!$B$5)</f>
        <v/>
      </c>
      <c r="F56" s="20" t="n"/>
      <c r="G56" s="18" t="n"/>
      <c r="H56" s="12">
        <f>IF(F56="","",IF(G56&lt;&gt;"","Paid",IF(E56="","Sent",IF(E56&lt;TODAY(),"Overdue","Sent"))))</f>
        <v/>
      </c>
      <c r="I56" s="12">
        <f>IF(H56="Overdue",TODAY()-E56,"")</f>
        <v/>
      </c>
    </row>
    <row r="57">
      <c r="A57" s="16" t="n"/>
      <c r="B57" s="16" t="n"/>
      <c r="C57" s="16" t="n"/>
      <c r="D57" s="18" t="n"/>
      <c r="E57" s="19">
        <f>IF(D57="","",D57+Settings!$B$5)</f>
        <v/>
      </c>
      <c r="F57" s="20" t="n"/>
      <c r="G57" s="18" t="n"/>
      <c r="H57" s="12">
        <f>IF(F57="","",IF(G57&lt;&gt;"","Paid",IF(E57="","Sent",IF(E57&lt;TODAY(),"Overdue","Sent"))))</f>
        <v/>
      </c>
      <c r="I57" s="12">
        <f>IF(H57="Overdue",TODAY()-E57,"")</f>
        <v/>
      </c>
    </row>
    <row r="58">
      <c r="A58" s="16" t="n"/>
      <c r="B58" s="16" t="n"/>
      <c r="C58" s="16" t="n"/>
      <c r="D58" s="18" t="n"/>
      <c r="E58" s="19">
        <f>IF(D58="","",D58+Settings!$B$5)</f>
        <v/>
      </c>
      <c r="F58" s="20" t="n"/>
      <c r="G58" s="18" t="n"/>
      <c r="H58" s="12">
        <f>IF(F58="","",IF(G58&lt;&gt;"","Paid",IF(E58="","Sent",IF(E58&lt;TODAY(),"Overdue","Sent"))))</f>
        <v/>
      </c>
      <c r="I58" s="12">
        <f>IF(H58="Overdue",TODAY()-E58,"")</f>
        <v/>
      </c>
    </row>
    <row r="59">
      <c r="A59" s="16" t="n"/>
      <c r="B59" s="16" t="n"/>
      <c r="C59" s="16" t="n"/>
      <c r="D59" s="18" t="n"/>
      <c r="E59" s="19">
        <f>IF(D59="","",D59+Settings!$B$5)</f>
        <v/>
      </c>
      <c r="F59" s="20" t="n"/>
      <c r="G59" s="18" t="n"/>
      <c r="H59" s="12">
        <f>IF(F59="","",IF(G59&lt;&gt;"","Paid",IF(E59="","Sent",IF(E59&lt;TODAY(),"Overdue","Sent"))))</f>
        <v/>
      </c>
      <c r="I59" s="12">
        <f>IF(H59="Overdue",TODAY()-E59,"")</f>
        <v/>
      </c>
    </row>
    <row r="60">
      <c r="A60" s="16" t="n"/>
      <c r="B60" s="16" t="n"/>
      <c r="C60" s="16" t="n"/>
      <c r="D60" s="18" t="n"/>
      <c r="E60" s="19">
        <f>IF(D60="","",D60+Settings!$B$5)</f>
        <v/>
      </c>
      <c r="F60" s="20" t="n"/>
      <c r="G60" s="18" t="n"/>
      <c r="H60" s="12">
        <f>IF(F60="","",IF(G60&lt;&gt;"","Paid",IF(E60="","Sent",IF(E60&lt;TODAY(),"Overdue","Sent"))))</f>
        <v/>
      </c>
      <c r="I60" s="12">
        <f>IF(H60="Overdue",TODAY()-E60,"")</f>
        <v/>
      </c>
    </row>
    <row r="61">
      <c r="A61" s="16" t="n"/>
      <c r="B61" s="16" t="n"/>
      <c r="C61" s="16" t="n"/>
      <c r="D61" s="18" t="n"/>
      <c r="E61" s="19">
        <f>IF(D61="","",D61+Settings!$B$5)</f>
        <v/>
      </c>
      <c r="F61" s="20" t="n"/>
      <c r="G61" s="18" t="n"/>
      <c r="H61" s="12">
        <f>IF(F61="","",IF(G61&lt;&gt;"","Paid",IF(E61="","Sent",IF(E61&lt;TODAY(),"Overdue","Sent"))))</f>
        <v/>
      </c>
      <c r="I61" s="12">
        <f>IF(H61="Overdue",TODAY()-E61,"")</f>
        <v/>
      </c>
    </row>
    <row r="62">
      <c r="A62" s="16" t="n"/>
      <c r="B62" s="16" t="n"/>
      <c r="C62" s="16" t="n"/>
      <c r="D62" s="18" t="n"/>
      <c r="E62" s="19">
        <f>IF(D62="","",D62+Settings!$B$5)</f>
        <v/>
      </c>
      <c r="F62" s="20" t="n"/>
      <c r="G62" s="18" t="n"/>
      <c r="H62" s="12">
        <f>IF(F62="","",IF(G62&lt;&gt;"","Paid",IF(E62="","Sent",IF(E62&lt;TODAY(),"Overdue","Sent"))))</f>
        <v/>
      </c>
      <c r="I62" s="12">
        <f>IF(H62="Overdue",TODAY()-E62,"")</f>
        <v/>
      </c>
    </row>
    <row r="63">
      <c r="A63" s="16" t="n"/>
      <c r="B63" s="16" t="n"/>
      <c r="C63" s="16" t="n"/>
      <c r="D63" s="18" t="n"/>
      <c r="E63" s="19">
        <f>IF(D63="","",D63+Settings!$B$5)</f>
        <v/>
      </c>
      <c r="F63" s="20" t="n"/>
      <c r="G63" s="18" t="n"/>
      <c r="H63" s="12">
        <f>IF(F63="","",IF(G63&lt;&gt;"","Paid",IF(E63="","Sent",IF(E63&lt;TODAY(),"Overdue","Sent"))))</f>
        <v/>
      </c>
      <c r="I63" s="12">
        <f>IF(H63="Overdue",TODAY()-E63,"")</f>
        <v/>
      </c>
    </row>
    <row r="64">
      <c r="A64" s="16" t="n"/>
      <c r="B64" s="16" t="n"/>
      <c r="C64" s="16" t="n"/>
      <c r="D64" s="18" t="n"/>
      <c r="E64" s="19">
        <f>IF(D64="","",D64+Settings!$B$5)</f>
        <v/>
      </c>
      <c r="F64" s="20" t="n"/>
      <c r="G64" s="18" t="n"/>
      <c r="H64" s="12">
        <f>IF(F64="","",IF(G64&lt;&gt;"","Paid",IF(E64="","Sent",IF(E64&lt;TODAY(),"Overdue","Sent"))))</f>
        <v/>
      </c>
      <c r="I64" s="12">
        <f>IF(H64="Overdue",TODAY()-E64,"")</f>
        <v/>
      </c>
    </row>
    <row r="65">
      <c r="A65" s="16" t="n"/>
      <c r="B65" s="16" t="n"/>
      <c r="C65" s="16" t="n"/>
      <c r="D65" s="18" t="n"/>
      <c r="E65" s="19">
        <f>IF(D65="","",D65+Settings!$B$5)</f>
        <v/>
      </c>
      <c r="F65" s="20" t="n"/>
      <c r="G65" s="18" t="n"/>
      <c r="H65" s="12">
        <f>IF(F65="","",IF(G65&lt;&gt;"","Paid",IF(E65="","Sent",IF(E65&lt;TODAY(),"Overdue","Sent"))))</f>
        <v/>
      </c>
      <c r="I65" s="12">
        <f>IF(H65="Overdue",TODAY()-E65,"")</f>
        <v/>
      </c>
    </row>
    <row r="66">
      <c r="A66" s="16" t="n"/>
      <c r="B66" s="16" t="n"/>
      <c r="C66" s="16" t="n"/>
      <c r="D66" s="18" t="n"/>
      <c r="E66" s="19">
        <f>IF(D66="","",D66+Settings!$B$5)</f>
        <v/>
      </c>
      <c r="F66" s="20" t="n"/>
      <c r="G66" s="18" t="n"/>
      <c r="H66" s="12">
        <f>IF(F66="","",IF(G66&lt;&gt;"","Paid",IF(E66="","Sent",IF(E66&lt;TODAY(),"Overdue","Sent"))))</f>
        <v/>
      </c>
      <c r="I66" s="12">
        <f>IF(H66="Overdue",TODAY()-E66,"")</f>
        <v/>
      </c>
    </row>
    <row r="67">
      <c r="A67" s="16" t="n"/>
      <c r="B67" s="16" t="n"/>
      <c r="C67" s="16" t="n"/>
      <c r="D67" s="18" t="n"/>
      <c r="E67" s="19">
        <f>IF(D67="","",D67+Settings!$B$5)</f>
        <v/>
      </c>
      <c r="F67" s="20" t="n"/>
      <c r="G67" s="18" t="n"/>
      <c r="H67" s="12">
        <f>IF(F67="","",IF(G67&lt;&gt;"","Paid",IF(E67="","Sent",IF(E67&lt;TODAY(),"Overdue","Sent"))))</f>
        <v/>
      </c>
      <c r="I67" s="12">
        <f>IF(H67="Overdue",TODAY()-E67,"")</f>
        <v/>
      </c>
    </row>
    <row r="68">
      <c r="A68" s="16" t="n"/>
      <c r="B68" s="16" t="n"/>
      <c r="C68" s="16" t="n"/>
      <c r="D68" s="18" t="n"/>
      <c r="E68" s="19">
        <f>IF(D68="","",D68+Settings!$B$5)</f>
        <v/>
      </c>
      <c r="F68" s="20" t="n"/>
      <c r="G68" s="18" t="n"/>
      <c r="H68" s="12">
        <f>IF(F68="","",IF(G68&lt;&gt;"","Paid",IF(E68="","Sent",IF(E68&lt;TODAY(),"Overdue","Sent"))))</f>
        <v/>
      </c>
      <c r="I68" s="12">
        <f>IF(H68="Overdue",TODAY()-E68,"")</f>
        <v/>
      </c>
    </row>
    <row r="69">
      <c r="A69" s="16" t="n"/>
      <c r="B69" s="16" t="n"/>
      <c r="C69" s="16" t="n"/>
      <c r="D69" s="18" t="n"/>
      <c r="E69" s="19">
        <f>IF(D69="","",D69+Settings!$B$5)</f>
        <v/>
      </c>
      <c r="F69" s="20" t="n"/>
      <c r="G69" s="18" t="n"/>
      <c r="H69" s="12">
        <f>IF(F69="","",IF(G69&lt;&gt;"","Paid",IF(E69="","Sent",IF(E69&lt;TODAY(),"Overdue","Sent"))))</f>
        <v/>
      </c>
      <c r="I69" s="12">
        <f>IF(H69="Overdue",TODAY()-E69,"")</f>
        <v/>
      </c>
    </row>
    <row r="70">
      <c r="A70" s="16" t="n"/>
      <c r="B70" s="16" t="n"/>
      <c r="C70" s="16" t="n"/>
      <c r="D70" s="18" t="n"/>
      <c r="E70" s="19">
        <f>IF(D70="","",D70+Settings!$B$5)</f>
        <v/>
      </c>
      <c r="F70" s="20" t="n"/>
      <c r="G70" s="18" t="n"/>
      <c r="H70" s="12">
        <f>IF(F70="","",IF(G70&lt;&gt;"","Paid",IF(E70="","Sent",IF(E70&lt;TODAY(),"Overdue","Sent"))))</f>
        <v/>
      </c>
      <c r="I70" s="12">
        <f>IF(H70="Overdue",TODAY()-E70,"")</f>
        <v/>
      </c>
    </row>
    <row r="71">
      <c r="A71" s="16" t="n"/>
      <c r="B71" s="16" t="n"/>
      <c r="C71" s="16" t="n"/>
      <c r="D71" s="18" t="n"/>
      <c r="E71" s="19">
        <f>IF(D71="","",D71+Settings!$B$5)</f>
        <v/>
      </c>
      <c r="F71" s="20" t="n"/>
      <c r="G71" s="18" t="n"/>
      <c r="H71" s="12">
        <f>IF(F71="","",IF(G71&lt;&gt;"","Paid",IF(E71="","Sent",IF(E71&lt;TODAY(),"Overdue","Sent"))))</f>
        <v/>
      </c>
      <c r="I71" s="12">
        <f>IF(H71="Overdue",TODAY()-E71,"")</f>
        <v/>
      </c>
    </row>
    <row r="72">
      <c r="A72" s="16" t="n"/>
      <c r="B72" s="16" t="n"/>
      <c r="C72" s="16" t="n"/>
      <c r="D72" s="18" t="n"/>
      <c r="E72" s="19">
        <f>IF(D72="","",D72+Settings!$B$5)</f>
        <v/>
      </c>
      <c r="F72" s="20" t="n"/>
      <c r="G72" s="18" t="n"/>
      <c r="H72" s="12">
        <f>IF(F72="","",IF(G72&lt;&gt;"","Paid",IF(E72="","Sent",IF(E72&lt;TODAY(),"Overdue","Sent"))))</f>
        <v/>
      </c>
      <c r="I72" s="12">
        <f>IF(H72="Overdue",TODAY()-E72,"")</f>
        <v/>
      </c>
    </row>
    <row r="73">
      <c r="A73" s="16" t="n"/>
      <c r="B73" s="16" t="n"/>
      <c r="C73" s="16" t="n"/>
      <c r="D73" s="18" t="n"/>
      <c r="E73" s="19">
        <f>IF(D73="","",D73+Settings!$B$5)</f>
        <v/>
      </c>
      <c r="F73" s="20" t="n"/>
      <c r="G73" s="18" t="n"/>
      <c r="H73" s="12">
        <f>IF(F73="","",IF(G73&lt;&gt;"","Paid",IF(E73="","Sent",IF(E73&lt;TODAY(),"Overdue","Sent"))))</f>
        <v/>
      </c>
      <c r="I73" s="12">
        <f>IF(H73="Overdue",TODAY()-E73,"")</f>
        <v/>
      </c>
    </row>
    <row r="74">
      <c r="A74" s="16" t="n"/>
      <c r="B74" s="16" t="n"/>
      <c r="C74" s="16" t="n"/>
      <c r="D74" s="18" t="n"/>
      <c r="E74" s="19">
        <f>IF(D74="","",D74+Settings!$B$5)</f>
        <v/>
      </c>
      <c r="F74" s="20" t="n"/>
      <c r="G74" s="18" t="n"/>
      <c r="H74" s="12">
        <f>IF(F74="","",IF(G74&lt;&gt;"","Paid",IF(E74="","Sent",IF(E74&lt;TODAY(),"Overdue","Sent"))))</f>
        <v/>
      </c>
      <c r="I74" s="12">
        <f>IF(H74="Overdue",TODAY()-E74,"")</f>
        <v/>
      </c>
    </row>
    <row r="75">
      <c r="A75" s="16" t="n"/>
      <c r="B75" s="16" t="n"/>
      <c r="C75" s="16" t="n"/>
      <c r="D75" s="18" t="n"/>
      <c r="E75" s="19">
        <f>IF(D75="","",D75+Settings!$B$5)</f>
        <v/>
      </c>
      <c r="F75" s="20" t="n"/>
      <c r="G75" s="18" t="n"/>
      <c r="H75" s="12">
        <f>IF(F75="","",IF(G75&lt;&gt;"","Paid",IF(E75="","Sent",IF(E75&lt;TODAY(),"Overdue","Sent"))))</f>
        <v/>
      </c>
      <c r="I75" s="12">
        <f>IF(H75="Overdue",TODAY()-E75,"")</f>
        <v/>
      </c>
    </row>
    <row r="76">
      <c r="A76" s="16" t="n"/>
      <c r="B76" s="16" t="n"/>
      <c r="C76" s="16" t="n"/>
      <c r="D76" s="18" t="n"/>
      <c r="E76" s="19">
        <f>IF(D76="","",D76+Settings!$B$5)</f>
        <v/>
      </c>
      <c r="F76" s="20" t="n"/>
      <c r="G76" s="18" t="n"/>
      <c r="H76" s="12">
        <f>IF(F76="","",IF(G76&lt;&gt;"","Paid",IF(E76="","Sent",IF(E76&lt;TODAY(),"Overdue","Sent"))))</f>
        <v/>
      </c>
      <c r="I76" s="12">
        <f>IF(H76="Overdue",TODAY()-E76,"")</f>
        <v/>
      </c>
    </row>
    <row r="77">
      <c r="A77" s="16" t="n"/>
      <c r="B77" s="16" t="n"/>
      <c r="C77" s="16" t="n"/>
      <c r="D77" s="18" t="n"/>
      <c r="E77" s="19">
        <f>IF(D77="","",D77+Settings!$B$5)</f>
        <v/>
      </c>
      <c r="F77" s="20" t="n"/>
      <c r="G77" s="18" t="n"/>
      <c r="H77" s="12">
        <f>IF(F77="","",IF(G77&lt;&gt;"","Paid",IF(E77="","Sent",IF(E77&lt;TODAY(),"Overdue","Sent"))))</f>
        <v/>
      </c>
      <c r="I77" s="12">
        <f>IF(H77="Overdue",TODAY()-E77,"")</f>
        <v/>
      </c>
    </row>
    <row r="78">
      <c r="A78" s="16" t="n"/>
      <c r="B78" s="16" t="n"/>
      <c r="C78" s="16" t="n"/>
      <c r="D78" s="18" t="n"/>
      <c r="E78" s="19">
        <f>IF(D78="","",D78+Settings!$B$5)</f>
        <v/>
      </c>
      <c r="F78" s="20" t="n"/>
      <c r="G78" s="18" t="n"/>
      <c r="H78" s="12">
        <f>IF(F78="","",IF(G78&lt;&gt;"","Paid",IF(E78="","Sent",IF(E78&lt;TODAY(),"Overdue","Sent"))))</f>
        <v/>
      </c>
      <c r="I78" s="12">
        <f>IF(H78="Overdue",TODAY()-E78,"")</f>
        <v/>
      </c>
    </row>
    <row r="79">
      <c r="A79" s="16" t="n"/>
      <c r="B79" s="16" t="n"/>
      <c r="C79" s="16" t="n"/>
      <c r="D79" s="18" t="n"/>
      <c r="E79" s="19">
        <f>IF(D79="","",D79+Settings!$B$5)</f>
        <v/>
      </c>
      <c r="F79" s="20" t="n"/>
      <c r="G79" s="18" t="n"/>
      <c r="H79" s="12">
        <f>IF(F79="","",IF(G79&lt;&gt;"","Paid",IF(E79="","Sent",IF(E79&lt;TODAY(),"Overdue","Sent"))))</f>
        <v/>
      </c>
      <c r="I79" s="12">
        <f>IF(H79="Overdue",TODAY()-E79,"")</f>
        <v/>
      </c>
    </row>
    <row r="80">
      <c r="A80" s="16" t="n"/>
      <c r="B80" s="16" t="n"/>
      <c r="C80" s="16" t="n"/>
      <c r="D80" s="18" t="n"/>
      <c r="E80" s="19">
        <f>IF(D80="","",D80+Settings!$B$5)</f>
        <v/>
      </c>
      <c r="F80" s="20" t="n"/>
      <c r="G80" s="18" t="n"/>
      <c r="H80" s="12">
        <f>IF(F80="","",IF(G80&lt;&gt;"","Paid",IF(E80="","Sent",IF(E80&lt;TODAY(),"Overdue","Sent"))))</f>
        <v/>
      </c>
      <c r="I80" s="12">
        <f>IF(H80="Overdue",TODAY()-E80,"")</f>
        <v/>
      </c>
    </row>
    <row r="81">
      <c r="A81" s="16" t="n"/>
      <c r="B81" s="16" t="n"/>
      <c r="C81" s="16" t="n"/>
      <c r="D81" s="18" t="n"/>
      <c r="E81" s="19">
        <f>IF(D81="","",D81+Settings!$B$5)</f>
        <v/>
      </c>
      <c r="F81" s="20" t="n"/>
      <c r="G81" s="18" t="n"/>
      <c r="H81" s="12">
        <f>IF(F81="","",IF(G81&lt;&gt;"","Paid",IF(E81="","Sent",IF(E81&lt;TODAY(),"Overdue","Sent"))))</f>
        <v/>
      </c>
      <c r="I81" s="12">
        <f>IF(H81="Overdue",TODAY()-E81,"")</f>
        <v/>
      </c>
    </row>
    <row r="82">
      <c r="A82" s="16" t="n"/>
      <c r="B82" s="16" t="n"/>
      <c r="C82" s="16" t="n"/>
      <c r="D82" s="18" t="n"/>
      <c r="E82" s="19">
        <f>IF(D82="","",D82+Settings!$B$5)</f>
        <v/>
      </c>
      <c r="F82" s="20" t="n"/>
      <c r="G82" s="18" t="n"/>
      <c r="H82" s="12">
        <f>IF(F82="","",IF(G82&lt;&gt;"","Paid",IF(E82="","Sent",IF(E82&lt;TODAY(),"Overdue","Sent"))))</f>
        <v/>
      </c>
      <c r="I82" s="12">
        <f>IF(H82="Overdue",TODAY()-E82,"")</f>
        <v/>
      </c>
    </row>
    <row r="83">
      <c r="A83" s="16" t="n"/>
      <c r="B83" s="16" t="n"/>
      <c r="C83" s="16" t="n"/>
      <c r="D83" s="18" t="n"/>
      <c r="E83" s="19">
        <f>IF(D83="","",D83+Settings!$B$5)</f>
        <v/>
      </c>
      <c r="F83" s="20" t="n"/>
      <c r="G83" s="18" t="n"/>
      <c r="H83" s="12">
        <f>IF(F83="","",IF(G83&lt;&gt;"","Paid",IF(E83="","Sent",IF(E83&lt;TODAY(),"Overdue","Sent"))))</f>
        <v/>
      </c>
      <c r="I83" s="12">
        <f>IF(H83="Overdue",TODAY()-E83,"")</f>
        <v/>
      </c>
    </row>
    <row r="84">
      <c r="A84" s="16" t="n"/>
      <c r="B84" s="16" t="n"/>
      <c r="C84" s="16" t="n"/>
      <c r="D84" s="18" t="n"/>
      <c r="E84" s="19">
        <f>IF(D84="","",D84+Settings!$B$5)</f>
        <v/>
      </c>
      <c r="F84" s="20" t="n"/>
      <c r="G84" s="18" t="n"/>
      <c r="H84" s="12">
        <f>IF(F84="","",IF(G84&lt;&gt;"","Paid",IF(E84="","Sent",IF(E84&lt;TODAY(),"Overdue","Sent"))))</f>
        <v/>
      </c>
      <c r="I84" s="12">
        <f>IF(H84="Overdue",TODAY()-E84,"")</f>
        <v/>
      </c>
    </row>
    <row r="85">
      <c r="A85" s="16" t="n"/>
      <c r="B85" s="16" t="n"/>
      <c r="C85" s="16" t="n"/>
      <c r="D85" s="18" t="n"/>
      <c r="E85" s="19">
        <f>IF(D85="","",D85+Settings!$B$5)</f>
        <v/>
      </c>
      <c r="F85" s="20" t="n"/>
      <c r="G85" s="18" t="n"/>
      <c r="H85" s="12">
        <f>IF(F85="","",IF(G85&lt;&gt;"","Paid",IF(E85="","Sent",IF(E85&lt;TODAY(),"Overdue","Sent"))))</f>
        <v/>
      </c>
      <c r="I85" s="12">
        <f>IF(H85="Overdue",TODAY()-E85,"")</f>
        <v/>
      </c>
    </row>
    <row r="86">
      <c r="A86" s="16" t="n"/>
      <c r="B86" s="16" t="n"/>
      <c r="C86" s="16" t="n"/>
      <c r="D86" s="18" t="n"/>
      <c r="E86" s="19">
        <f>IF(D86="","",D86+Settings!$B$5)</f>
        <v/>
      </c>
      <c r="F86" s="20" t="n"/>
      <c r="G86" s="18" t="n"/>
      <c r="H86" s="12">
        <f>IF(F86="","",IF(G86&lt;&gt;"","Paid",IF(E86="","Sent",IF(E86&lt;TODAY(),"Overdue","Sent"))))</f>
        <v/>
      </c>
      <c r="I86" s="12">
        <f>IF(H86="Overdue",TODAY()-E86,"")</f>
        <v/>
      </c>
    </row>
    <row r="87">
      <c r="A87" s="16" t="n"/>
      <c r="B87" s="16" t="n"/>
      <c r="C87" s="16" t="n"/>
      <c r="D87" s="18" t="n"/>
      <c r="E87" s="19">
        <f>IF(D87="","",D87+Settings!$B$5)</f>
        <v/>
      </c>
      <c r="F87" s="20" t="n"/>
      <c r="G87" s="18" t="n"/>
      <c r="H87" s="12">
        <f>IF(F87="","",IF(G87&lt;&gt;"","Paid",IF(E87="","Sent",IF(E87&lt;TODAY(),"Overdue","Sent"))))</f>
        <v/>
      </c>
      <c r="I87" s="12">
        <f>IF(H87="Overdue",TODAY()-E87,"")</f>
        <v/>
      </c>
    </row>
    <row r="88">
      <c r="A88" s="16" t="n"/>
      <c r="B88" s="16" t="n"/>
      <c r="C88" s="16" t="n"/>
      <c r="D88" s="18" t="n"/>
      <c r="E88" s="19">
        <f>IF(D88="","",D88+Settings!$B$5)</f>
        <v/>
      </c>
      <c r="F88" s="20" t="n"/>
      <c r="G88" s="18" t="n"/>
      <c r="H88" s="12">
        <f>IF(F88="","",IF(G88&lt;&gt;"","Paid",IF(E88="","Sent",IF(E88&lt;TODAY(),"Overdue","Sent"))))</f>
        <v/>
      </c>
      <c r="I88" s="12">
        <f>IF(H88="Overdue",TODAY()-E88,"")</f>
        <v/>
      </c>
    </row>
    <row r="89">
      <c r="A89" s="16" t="n"/>
      <c r="B89" s="16" t="n"/>
      <c r="C89" s="16" t="n"/>
      <c r="D89" s="18" t="n"/>
      <c r="E89" s="19">
        <f>IF(D89="","",D89+Settings!$B$5)</f>
        <v/>
      </c>
      <c r="F89" s="20" t="n"/>
      <c r="G89" s="18" t="n"/>
      <c r="H89" s="12">
        <f>IF(F89="","",IF(G89&lt;&gt;"","Paid",IF(E89="","Sent",IF(E89&lt;TODAY(),"Overdue","Sent"))))</f>
        <v/>
      </c>
      <c r="I89" s="12">
        <f>IF(H89="Overdue",TODAY()-E89,"")</f>
        <v/>
      </c>
    </row>
    <row r="90">
      <c r="A90" s="16" t="n"/>
      <c r="B90" s="16" t="n"/>
      <c r="C90" s="16" t="n"/>
      <c r="D90" s="18" t="n"/>
      <c r="E90" s="19">
        <f>IF(D90="","",D90+Settings!$B$5)</f>
        <v/>
      </c>
      <c r="F90" s="20" t="n"/>
      <c r="G90" s="18" t="n"/>
      <c r="H90" s="12">
        <f>IF(F90="","",IF(G90&lt;&gt;"","Paid",IF(E90="","Sent",IF(E90&lt;TODAY(),"Overdue","Sent"))))</f>
        <v/>
      </c>
      <c r="I90" s="12">
        <f>IF(H90="Overdue",TODAY()-E90,"")</f>
        <v/>
      </c>
    </row>
    <row r="91">
      <c r="A91" s="16" t="n"/>
      <c r="B91" s="16" t="n"/>
      <c r="C91" s="16" t="n"/>
      <c r="D91" s="18" t="n"/>
      <c r="E91" s="19">
        <f>IF(D91="","",D91+Settings!$B$5)</f>
        <v/>
      </c>
      <c r="F91" s="20" t="n"/>
      <c r="G91" s="18" t="n"/>
      <c r="H91" s="12">
        <f>IF(F91="","",IF(G91&lt;&gt;"","Paid",IF(E91="","Sent",IF(E91&lt;TODAY(),"Overdue","Sent"))))</f>
        <v/>
      </c>
      <c r="I91" s="12">
        <f>IF(H91="Overdue",TODAY()-E91,"")</f>
        <v/>
      </c>
    </row>
    <row r="92">
      <c r="A92" s="16" t="n"/>
      <c r="B92" s="16" t="n"/>
      <c r="C92" s="16" t="n"/>
      <c r="D92" s="18" t="n"/>
      <c r="E92" s="19">
        <f>IF(D92="","",D92+Settings!$B$5)</f>
        <v/>
      </c>
      <c r="F92" s="20" t="n"/>
      <c r="G92" s="18" t="n"/>
      <c r="H92" s="12">
        <f>IF(F92="","",IF(G92&lt;&gt;"","Paid",IF(E92="","Sent",IF(E92&lt;TODAY(),"Overdue","Sent"))))</f>
        <v/>
      </c>
      <c r="I92" s="12">
        <f>IF(H92="Overdue",TODAY()-E92,"")</f>
        <v/>
      </c>
    </row>
    <row r="93">
      <c r="A93" s="16" t="n"/>
      <c r="B93" s="16" t="n"/>
      <c r="C93" s="16" t="n"/>
      <c r="D93" s="18" t="n"/>
      <c r="E93" s="19">
        <f>IF(D93="","",D93+Settings!$B$5)</f>
        <v/>
      </c>
      <c r="F93" s="20" t="n"/>
      <c r="G93" s="18" t="n"/>
      <c r="H93" s="12">
        <f>IF(F93="","",IF(G93&lt;&gt;"","Paid",IF(E93="","Sent",IF(E93&lt;TODAY(),"Overdue","Sent"))))</f>
        <v/>
      </c>
      <c r="I93" s="12">
        <f>IF(H93="Overdue",TODAY()-E93,"")</f>
        <v/>
      </c>
    </row>
    <row r="94">
      <c r="A94" s="16" t="n"/>
      <c r="B94" s="16" t="n"/>
      <c r="C94" s="16" t="n"/>
      <c r="D94" s="18" t="n"/>
      <c r="E94" s="19">
        <f>IF(D94="","",D94+Settings!$B$5)</f>
        <v/>
      </c>
      <c r="F94" s="20" t="n"/>
      <c r="G94" s="18" t="n"/>
      <c r="H94" s="12">
        <f>IF(F94="","",IF(G94&lt;&gt;"","Paid",IF(E94="","Sent",IF(E94&lt;TODAY(),"Overdue","Sent"))))</f>
        <v/>
      </c>
      <c r="I94" s="12">
        <f>IF(H94="Overdue",TODAY()-E94,"")</f>
        <v/>
      </c>
    </row>
    <row r="95">
      <c r="A95" s="16" t="n"/>
      <c r="B95" s="16" t="n"/>
      <c r="C95" s="16" t="n"/>
      <c r="D95" s="18" t="n"/>
      <c r="E95" s="19">
        <f>IF(D95="","",D95+Settings!$B$5)</f>
        <v/>
      </c>
      <c r="F95" s="20" t="n"/>
      <c r="G95" s="18" t="n"/>
      <c r="H95" s="12">
        <f>IF(F95="","",IF(G95&lt;&gt;"","Paid",IF(E95="","Sent",IF(E95&lt;TODAY(),"Overdue","Sent"))))</f>
        <v/>
      </c>
      <c r="I95" s="12">
        <f>IF(H95="Overdue",TODAY()-E95,"")</f>
        <v/>
      </c>
    </row>
    <row r="96">
      <c r="A96" s="16" t="n"/>
      <c r="B96" s="16" t="n"/>
      <c r="C96" s="16" t="n"/>
      <c r="D96" s="18" t="n"/>
      <c r="E96" s="19">
        <f>IF(D96="","",D96+Settings!$B$5)</f>
        <v/>
      </c>
      <c r="F96" s="20" t="n"/>
      <c r="G96" s="18" t="n"/>
      <c r="H96" s="12">
        <f>IF(F96="","",IF(G96&lt;&gt;"","Paid",IF(E96="","Sent",IF(E96&lt;TODAY(),"Overdue","Sent"))))</f>
        <v/>
      </c>
      <c r="I96" s="12">
        <f>IF(H96="Overdue",TODAY()-E96,"")</f>
        <v/>
      </c>
    </row>
    <row r="97">
      <c r="A97" s="16" t="n"/>
      <c r="B97" s="16" t="n"/>
      <c r="C97" s="16" t="n"/>
      <c r="D97" s="18" t="n"/>
      <c r="E97" s="19">
        <f>IF(D97="","",D97+Settings!$B$5)</f>
        <v/>
      </c>
      <c r="F97" s="20" t="n"/>
      <c r="G97" s="18" t="n"/>
      <c r="H97" s="12">
        <f>IF(F97="","",IF(G97&lt;&gt;"","Paid",IF(E97="","Sent",IF(E97&lt;TODAY(),"Overdue","Sent"))))</f>
        <v/>
      </c>
      <c r="I97" s="12">
        <f>IF(H97="Overdue",TODAY()-E97,"")</f>
        <v/>
      </c>
    </row>
    <row r="98">
      <c r="A98" s="16" t="n"/>
      <c r="B98" s="16" t="n"/>
      <c r="C98" s="16" t="n"/>
      <c r="D98" s="18" t="n"/>
      <c r="E98" s="19">
        <f>IF(D98="","",D98+Settings!$B$5)</f>
        <v/>
      </c>
      <c r="F98" s="20" t="n"/>
      <c r="G98" s="18" t="n"/>
      <c r="H98" s="12">
        <f>IF(F98="","",IF(G98&lt;&gt;"","Paid",IF(E98="","Sent",IF(E98&lt;TODAY(),"Overdue","Sent"))))</f>
        <v/>
      </c>
      <c r="I98" s="12">
        <f>IF(H98="Overdue",TODAY()-E98,"")</f>
        <v/>
      </c>
    </row>
    <row r="99">
      <c r="A99" s="16" t="n"/>
      <c r="B99" s="16" t="n"/>
      <c r="C99" s="16" t="n"/>
      <c r="D99" s="18" t="n"/>
      <c r="E99" s="19">
        <f>IF(D99="","",D99+Settings!$B$5)</f>
        <v/>
      </c>
      <c r="F99" s="20" t="n"/>
      <c r="G99" s="18" t="n"/>
      <c r="H99" s="12">
        <f>IF(F99="","",IF(G99&lt;&gt;"","Paid",IF(E99="","Sent",IF(E99&lt;TODAY(),"Overdue","Sent"))))</f>
        <v/>
      </c>
      <c r="I99" s="12">
        <f>IF(H99="Overdue",TODAY()-E99,"")</f>
        <v/>
      </c>
    </row>
    <row r="100">
      <c r="A100" s="16" t="n"/>
      <c r="B100" s="16" t="n"/>
      <c r="C100" s="16" t="n"/>
      <c r="D100" s="18" t="n"/>
      <c r="E100" s="19">
        <f>IF(D100="","",D100+Settings!$B$5)</f>
        <v/>
      </c>
      <c r="F100" s="20" t="n"/>
      <c r="G100" s="18" t="n"/>
      <c r="H100" s="12">
        <f>IF(F100="","",IF(G100&lt;&gt;"","Paid",IF(E100="","Sent",IF(E100&lt;TODAY(),"Overdue","Sent"))))</f>
        <v/>
      </c>
      <c r="I100" s="12">
        <f>IF(H100="Overdue",TODAY()-E100,"")</f>
        <v/>
      </c>
    </row>
    <row r="101">
      <c r="A101" s="16" t="n"/>
      <c r="B101" s="16" t="n"/>
      <c r="C101" s="16" t="n"/>
      <c r="D101" s="18" t="n"/>
      <c r="E101" s="19">
        <f>IF(D101="","",D101+Settings!$B$5)</f>
        <v/>
      </c>
      <c r="F101" s="20" t="n"/>
      <c r="G101" s="18" t="n"/>
      <c r="H101" s="12">
        <f>IF(F101="","",IF(G101&lt;&gt;"","Paid",IF(E101="","Sent",IF(E101&lt;TODAY(),"Overdue","Sent"))))</f>
        <v/>
      </c>
      <c r="I101" s="12">
        <f>IF(H101="Overdue",TODAY()-E101,"")</f>
        <v/>
      </c>
    </row>
    <row r="102">
      <c r="A102" s="16" t="n"/>
      <c r="B102" s="16" t="n"/>
      <c r="C102" s="16" t="n"/>
      <c r="D102" s="18" t="n"/>
      <c r="E102" s="19">
        <f>IF(D102="","",D102+Settings!$B$5)</f>
        <v/>
      </c>
      <c r="F102" s="20" t="n"/>
      <c r="G102" s="18" t="n"/>
      <c r="H102" s="12">
        <f>IF(F102="","",IF(G102&lt;&gt;"","Paid",IF(E102="","Sent",IF(E102&lt;TODAY(),"Overdue","Sent"))))</f>
        <v/>
      </c>
      <c r="I102" s="12">
        <f>IF(H102="Overdue",TODAY()-E102,"")</f>
        <v/>
      </c>
    </row>
    <row r="103">
      <c r="A103" s="16" t="n"/>
      <c r="B103" s="16" t="n"/>
      <c r="C103" s="16" t="n"/>
      <c r="D103" s="18" t="n"/>
      <c r="E103" s="19">
        <f>IF(D103="","",D103+Settings!$B$5)</f>
        <v/>
      </c>
      <c r="F103" s="20" t="n"/>
      <c r="G103" s="18" t="n"/>
      <c r="H103" s="12">
        <f>IF(F103="","",IF(G103&lt;&gt;"","Paid",IF(E103="","Sent",IF(E103&lt;TODAY(),"Overdue","Sent"))))</f>
        <v/>
      </c>
      <c r="I103" s="12">
        <f>IF(H103="Overdue",TODAY()-E103,"")</f>
        <v/>
      </c>
    </row>
    <row r="104">
      <c r="A104" s="16" t="n"/>
      <c r="B104" s="16" t="n"/>
      <c r="C104" s="16" t="n"/>
      <c r="D104" s="18" t="n"/>
      <c r="E104" s="19">
        <f>IF(D104="","",D104+Settings!$B$5)</f>
        <v/>
      </c>
      <c r="F104" s="20" t="n"/>
      <c r="G104" s="18" t="n"/>
      <c r="H104" s="12">
        <f>IF(F104="","",IF(G104&lt;&gt;"","Paid",IF(E104="","Sent",IF(E104&lt;TODAY(),"Overdue","Sent"))))</f>
        <v/>
      </c>
      <c r="I104" s="12">
        <f>IF(H104="Overdue",TODAY()-E104,"")</f>
        <v/>
      </c>
    </row>
    <row r="105">
      <c r="A105" s="16" t="n"/>
      <c r="B105" s="16" t="n"/>
      <c r="C105" s="16" t="n"/>
      <c r="D105" s="18" t="n"/>
      <c r="E105" s="19">
        <f>IF(D105="","",D105+Settings!$B$5)</f>
        <v/>
      </c>
      <c r="F105" s="20" t="n"/>
      <c r="G105" s="18" t="n"/>
      <c r="H105" s="12">
        <f>IF(F105="","",IF(G105&lt;&gt;"","Paid",IF(E105="","Sent",IF(E105&lt;TODAY(),"Overdue","Sent"))))</f>
        <v/>
      </c>
      <c r="I105" s="12">
        <f>IF(H105="Overdue",TODAY()-E105,"")</f>
        <v/>
      </c>
    </row>
    <row r="106">
      <c r="A106" s="16" t="n"/>
      <c r="B106" s="16" t="n"/>
      <c r="C106" s="16" t="n"/>
      <c r="D106" s="18" t="n"/>
      <c r="E106" s="19">
        <f>IF(D106="","",D106+Settings!$B$5)</f>
        <v/>
      </c>
      <c r="F106" s="20" t="n"/>
      <c r="G106" s="18" t="n"/>
      <c r="H106" s="12">
        <f>IF(F106="","",IF(G106&lt;&gt;"","Paid",IF(E106="","Sent",IF(E106&lt;TODAY(),"Overdue","Sent"))))</f>
        <v/>
      </c>
      <c r="I106" s="12">
        <f>IF(H106="Overdue",TODAY()-E106,"")</f>
        <v/>
      </c>
    </row>
    <row r="107">
      <c r="A107" s="16" t="n"/>
      <c r="B107" s="16" t="n"/>
      <c r="C107" s="16" t="n"/>
      <c r="D107" s="18" t="n"/>
      <c r="E107" s="19">
        <f>IF(D107="","",D107+Settings!$B$5)</f>
        <v/>
      </c>
      <c r="F107" s="20" t="n"/>
      <c r="G107" s="18" t="n"/>
      <c r="H107" s="12">
        <f>IF(F107="","",IF(G107&lt;&gt;"","Paid",IF(E107="","Sent",IF(E107&lt;TODAY(),"Overdue","Sent"))))</f>
        <v/>
      </c>
      <c r="I107" s="12">
        <f>IF(H107="Overdue",TODAY()-E107,"")</f>
        <v/>
      </c>
    </row>
    <row r="108">
      <c r="A108" s="16" t="n"/>
      <c r="B108" s="16" t="n"/>
      <c r="C108" s="16" t="n"/>
      <c r="D108" s="18" t="n"/>
      <c r="E108" s="19">
        <f>IF(D108="","",D108+Settings!$B$5)</f>
        <v/>
      </c>
      <c r="F108" s="20" t="n"/>
      <c r="G108" s="18" t="n"/>
      <c r="H108" s="12">
        <f>IF(F108="","",IF(G108&lt;&gt;"","Paid",IF(E108="","Sent",IF(E108&lt;TODAY(),"Overdue","Sent"))))</f>
        <v/>
      </c>
      <c r="I108" s="12">
        <f>IF(H108="Overdue",TODAY()-E108,"")</f>
        <v/>
      </c>
    </row>
    <row r="109">
      <c r="A109" s="16" t="n"/>
      <c r="B109" s="16" t="n"/>
      <c r="C109" s="16" t="n"/>
      <c r="D109" s="18" t="n"/>
      <c r="E109" s="19">
        <f>IF(D109="","",D109+Settings!$B$5)</f>
        <v/>
      </c>
      <c r="F109" s="20" t="n"/>
      <c r="G109" s="18" t="n"/>
      <c r="H109" s="12">
        <f>IF(F109="","",IF(G109&lt;&gt;"","Paid",IF(E109="","Sent",IF(E109&lt;TODAY(),"Overdue","Sent"))))</f>
        <v/>
      </c>
      <c r="I109" s="12">
        <f>IF(H109="Overdue",TODAY()-E109,"")</f>
        <v/>
      </c>
    </row>
    <row r="110">
      <c r="A110" s="16" t="n"/>
      <c r="B110" s="16" t="n"/>
      <c r="C110" s="16" t="n"/>
      <c r="D110" s="18" t="n"/>
      <c r="E110" s="19">
        <f>IF(D110="","",D110+Settings!$B$5)</f>
        <v/>
      </c>
      <c r="F110" s="20" t="n"/>
      <c r="G110" s="18" t="n"/>
      <c r="H110" s="12">
        <f>IF(F110="","",IF(G110&lt;&gt;"","Paid",IF(E110="","Sent",IF(E110&lt;TODAY(),"Overdue","Sent"))))</f>
        <v/>
      </c>
      <c r="I110" s="12">
        <f>IF(H110="Overdue",TODAY()-E110,"")</f>
        <v/>
      </c>
    </row>
    <row r="111">
      <c r="A111" s="16" t="n"/>
      <c r="B111" s="16" t="n"/>
      <c r="C111" s="16" t="n"/>
      <c r="D111" s="18" t="n"/>
      <c r="E111" s="19">
        <f>IF(D111="","",D111+Settings!$B$5)</f>
        <v/>
      </c>
      <c r="F111" s="20" t="n"/>
      <c r="G111" s="18" t="n"/>
      <c r="H111" s="12">
        <f>IF(F111="","",IF(G111&lt;&gt;"","Paid",IF(E111="","Sent",IF(E111&lt;TODAY(),"Overdue","Sent"))))</f>
        <v/>
      </c>
      <c r="I111" s="12">
        <f>IF(H111="Overdue",TODAY()-E111,"")</f>
        <v/>
      </c>
    </row>
    <row r="112">
      <c r="A112" s="16" t="n"/>
      <c r="B112" s="16" t="n"/>
      <c r="C112" s="16" t="n"/>
      <c r="D112" s="18" t="n"/>
      <c r="E112" s="19">
        <f>IF(D112="","",D112+Settings!$B$5)</f>
        <v/>
      </c>
      <c r="F112" s="20" t="n"/>
      <c r="G112" s="18" t="n"/>
      <c r="H112" s="12">
        <f>IF(F112="","",IF(G112&lt;&gt;"","Paid",IF(E112="","Sent",IF(E112&lt;TODAY(),"Overdue","Sent"))))</f>
        <v/>
      </c>
      <c r="I112" s="12">
        <f>IF(H112="Overdue",TODAY()-E112,"")</f>
        <v/>
      </c>
    </row>
    <row r="113">
      <c r="A113" s="16" t="n"/>
      <c r="B113" s="16" t="n"/>
      <c r="C113" s="16" t="n"/>
      <c r="D113" s="18" t="n"/>
      <c r="E113" s="19">
        <f>IF(D113="","",D113+Settings!$B$5)</f>
        <v/>
      </c>
      <c r="F113" s="20" t="n"/>
      <c r="G113" s="18" t="n"/>
      <c r="H113" s="12">
        <f>IF(F113="","",IF(G113&lt;&gt;"","Paid",IF(E113="","Sent",IF(E113&lt;TODAY(),"Overdue","Sent"))))</f>
        <v/>
      </c>
      <c r="I113" s="12">
        <f>IF(H113="Overdue",TODAY()-E113,"")</f>
        <v/>
      </c>
    </row>
    <row r="114">
      <c r="A114" s="16" t="n"/>
      <c r="B114" s="16" t="n"/>
      <c r="C114" s="16" t="n"/>
      <c r="D114" s="18" t="n"/>
      <c r="E114" s="19">
        <f>IF(D114="","",D114+Settings!$B$5)</f>
        <v/>
      </c>
      <c r="F114" s="20" t="n"/>
      <c r="G114" s="18" t="n"/>
      <c r="H114" s="12">
        <f>IF(F114="","",IF(G114&lt;&gt;"","Paid",IF(E114="","Sent",IF(E114&lt;TODAY(),"Overdue","Sent"))))</f>
        <v/>
      </c>
      <c r="I114" s="12">
        <f>IF(H114="Overdue",TODAY()-E114,"")</f>
        <v/>
      </c>
    </row>
    <row r="115">
      <c r="A115" s="16" t="n"/>
      <c r="B115" s="16" t="n"/>
      <c r="C115" s="16" t="n"/>
      <c r="D115" s="18" t="n"/>
      <c r="E115" s="19">
        <f>IF(D115="","",D115+Settings!$B$5)</f>
        <v/>
      </c>
      <c r="F115" s="20" t="n"/>
      <c r="G115" s="18" t="n"/>
      <c r="H115" s="12">
        <f>IF(F115="","",IF(G115&lt;&gt;"","Paid",IF(E115="","Sent",IF(E115&lt;TODAY(),"Overdue","Sent"))))</f>
        <v/>
      </c>
      <c r="I115" s="12">
        <f>IF(H115="Overdue",TODAY()-E115,"")</f>
        <v/>
      </c>
    </row>
    <row r="116">
      <c r="A116" s="16" t="n"/>
      <c r="B116" s="16" t="n"/>
      <c r="C116" s="16" t="n"/>
      <c r="D116" s="18" t="n"/>
      <c r="E116" s="19">
        <f>IF(D116="","",D116+Settings!$B$5)</f>
        <v/>
      </c>
      <c r="F116" s="20" t="n"/>
      <c r="G116" s="18" t="n"/>
      <c r="H116" s="12">
        <f>IF(F116="","",IF(G116&lt;&gt;"","Paid",IF(E116="","Sent",IF(E116&lt;TODAY(),"Overdue","Sent"))))</f>
        <v/>
      </c>
      <c r="I116" s="12">
        <f>IF(H116="Overdue",TODAY()-E116,"")</f>
        <v/>
      </c>
    </row>
    <row r="117">
      <c r="A117" s="16" t="n"/>
      <c r="B117" s="16" t="n"/>
      <c r="C117" s="16" t="n"/>
      <c r="D117" s="18" t="n"/>
      <c r="E117" s="19">
        <f>IF(D117="","",D117+Settings!$B$5)</f>
        <v/>
      </c>
      <c r="F117" s="20" t="n"/>
      <c r="G117" s="18" t="n"/>
      <c r="H117" s="12">
        <f>IF(F117="","",IF(G117&lt;&gt;"","Paid",IF(E117="","Sent",IF(E117&lt;TODAY(),"Overdue","Sent"))))</f>
        <v/>
      </c>
      <c r="I117" s="12">
        <f>IF(H117="Overdue",TODAY()-E117,"")</f>
        <v/>
      </c>
    </row>
    <row r="118">
      <c r="A118" s="16" t="n"/>
      <c r="B118" s="16" t="n"/>
      <c r="C118" s="16" t="n"/>
      <c r="D118" s="18" t="n"/>
      <c r="E118" s="19">
        <f>IF(D118="","",D118+Settings!$B$5)</f>
        <v/>
      </c>
      <c r="F118" s="20" t="n"/>
      <c r="G118" s="18" t="n"/>
      <c r="H118" s="12">
        <f>IF(F118="","",IF(G118&lt;&gt;"","Paid",IF(E118="","Sent",IF(E118&lt;TODAY(),"Overdue","Sent"))))</f>
        <v/>
      </c>
      <c r="I118" s="12">
        <f>IF(H118="Overdue",TODAY()-E118,"")</f>
        <v/>
      </c>
    </row>
    <row r="119">
      <c r="A119" s="16" t="n"/>
      <c r="B119" s="16" t="n"/>
      <c r="C119" s="16" t="n"/>
      <c r="D119" s="18" t="n"/>
      <c r="E119" s="19">
        <f>IF(D119="","",D119+Settings!$B$5)</f>
        <v/>
      </c>
      <c r="F119" s="20" t="n"/>
      <c r="G119" s="18" t="n"/>
      <c r="H119" s="12">
        <f>IF(F119="","",IF(G119&lt;&gt;"","Paid",IF(E119="","Sent",IF(E119&lt;TODAY(),"Overdue","Sent"))))</f>
        <v/>
      </c>
      <c r="I119" s="12">
        <f>IF(H119="Overdue",TODAY()-E119,"")</f>
        <v/>
      </c>
    </row>
    <row r="120">
      <c r="A120" s="16" t="n"/>
      <c r="B120" s="16" t="n"/>
      <c r="C120" s="16" t="n"/>
      <c r="D120" s="18" t="n"/>
      <c r="E120" s="19">
        <f>IF(D120="","",D120+Settings!$B$5)</f>
        <v/>
      </c>
      <c r="F120" s="20" t="n"/>
      <c r="G120" s="18" t="n"/>
      <c r="H120" s="12">
        <f>IF(F120="","",IF(G120&lt;&gt;"","Paid",IF(E120="","Sent",IF(E120&lt;TODAY(),"Overdue","Sent"))))</f>
        <v/>
      </c>
      <c r="I120" s="12">
        <f>IF(H120="Overdue",TODAY()-E120,"")</f>
        <v/>
      </c>
    </row>
    <row r="121">
      <c r="A121" s="16" t="n"/>
      <c r="B121" s="16" t="n"/>
      <c r="C121" s="16" t="n"/>
      <c r="D121" s="18" t="n"/>
      <c r="E121" s="19">
        <f>IF(D121="","",D121+Settings!$B$5)</f>
        <v/>
      </c>
      <c r="F121" s="20" t="n"/>
      <c r="G121" s="18" t="n"/>
      <c r="H121" s="12">
        <f>IF(F121="","",IF(G121&lt;&gt;"","Paid",IF(E121="","Sent",IF(E121&lt;TODAY(),"Overdue","Sent"))))</f>
        <v/>
      </c>
      <c r="I121" s="12">
        <f>IF(H121="Overdue",TODAY()-E121,"")</f>
        <v/>
      </c>
    </row>
    <row r="122">
      <c r="A122" s="16" t="n"/>
      <c r="B122" s="16" t="n"/>
      <c r="C122" s="16" t="n"/>
      <c r="D122" s="18" t="n"/>
      <c r="E122" s="19">
        <f>IF(D122="","",D122+Settings!$B$5)</f>
        <v/>
      </c>
      <c r="F122" s="20" t="n"/>
      <c r="G122" s="18" t="n"/>
      <c r="H122" s="12">
        <f>IF(F122="","",IF(G122&lt;&gt;"","Paid",IF(E122="","Sent",IF(E122&lt;TODAY(),"Overdue","Sent"))))</f>
        <v/>
      </c>
      <c r="I122" s="12">
        <f>IF(H122="Overdue",TODAY()-E122,"")</f>
        <v/>
      </c>
    </row>
    <row r="123">
      <c r="A123" s="16" t="n"/>
      <c r="B123" s="16" t="n"/>
      <c r="C123" s="16" t="n"/>
      <c r="D123" s="18" t="n"/>
      <c r="E123" s="19">
        <f>IF(D123="","",D123+Settings!$B$5)</f>
        <v/>
      </c>
      <c r="F123" s="20" t="n"/>
      <c r="G123" s="18" t="n"/>
      <c r="H123" s="12">
        <f>IF(F123="","",IF(G123&lt;&gt;"","Paid",IF(E123="","Sent",IF(E123&lt;TODAY(),"Overdue","Sent"))))</f>
        <v/>
      </c>
      <c r="I123" s="12">
        <f>IF(H123="Overdue",TODAY()-E123,"")</f>
        <v/>
      </c>
    </row>
    <row r="124">
      <c r="A124" s="16" t="n"/>
      <c r="B124" s="16" t="n"/>
      <c r="C124" s="16" t="n"/>
      <c r="D124" s="18" t="n"/>
      <c r="E124" s="19">
        <f>IF(D124="","",D124+Settings!$B$5)</f>
        <v/>
      </c>
      <c r="F124" s="20" t="n"/>
      <c r="G124" s="18" t="n"/>
      <c r="H124" s="12">
        <f>IF(F124="","",IF(G124&lt;&gt;"","Paid",IF(E124="","Sent",IF(E124&lt;TODAY(),"Overdue","Sent"))))</f>
        <v/>
      </c>
      <c r="I124" s="12">
        <f>IF(H124="Overdue",TODAY()-E124,"")</f>
        <v/>
      </c>
    </row>
    <row r="125">
      <c r="A125" s="16" t="n"/>
      <c r="B125" s="16" t="n"/>
      <c r="C125" s="16" t="n"/>
      <c r="D125" s="18" t="n"/>
      <c r="E125" s="19">
        <f>IF(D125="","",D125+Settings!$B$5)</f>
        <v/>
      </c>
      <c r="F125" s="20" t="n"/>
      <c r="G125" s="18" t="n"/>
      <c r="H125" s="12">
        <f>IF(F125="","",IF(G125&lt;&gt;"","Paid",IF(E125="","Sent",IF(E125&lt;TODAY(),"Overdue","Sent"))))</f>
        <v/>
      </c>
      <c r="I125" s="12">
        <f>IF(H125="Overdue",TODAY()-E125,"")</f>
        <v/>
      </c>
    </row>
    <row r="126">
      <c r="A126" s="16" t="n"/>
      <c r="B126" s="16" t="n"/>
      <c r="C126" s="16" t="n"/>
      <c r="D126" s="18" t="n"/>
      <c r="E126" s="19">
        <f>IF(D126="","",D126+Settings!$B$5)</f>
        <v/>
      </c>
      <c r="F126" s="20" t="n"/>
      <c r="G126" s="18" t="n"/>
      <c r="H126" s="12">
        <f>IF(F126="","",IF(G126&lt;&gt;"","Paid",IF(E126="","Sent",IF(E126&lt;TODAY(),"Overdue","Sent"))))</f>
        <v/>
      </c>
      <c r="I126" s="12">
        <f>IF(H126="Overdue",TODAY()-E126,"")</f>
        <v/>
      </c>
    </row>
    <row r="127">
      <c r="A127" s="16" t="n"/>
      <c r="B127" s="16" t="n"/>
      <c r="C127" s="16" t="n"/>
      <c r="D127" s="18" t="n"/>
      <c r="E127" s="19">
        <f>IF(D127="","",D127+Settings!$B$5)</f>
        <v/>
      </c>
      <c r="F127" s="20" t="n"/>
      <c r="G127" s="18" t="n"/>
      <c r="H127" s="12">
        <f>IF(F127="","",IF(G127&lt;&gt;"","Paid",IF(E127="","Sent",IF(E127&lt;TODAY(),"Overdue","Sent"))))</f>
        <v/>
      </c>
      <c r="I127" s="12">
        <f>IF(H127="Overdue",TODAY()-E127,"")</f>
        <v/>
      </c>
    </row>
    <row r="128">
      <c r="A128" s="16" t="n"/>
      <c r="B128" s="16" t="n"/>
      <c r="C128" s="16" t="n"/>
      <c r="D128" s="18" t="n"/>
      <c r="E128" s="19">
        <f>IF(D128="","",D128+Settings!$B$5)</f>
        <v/>
      </c>
      <c r="F128" s="20" t="n"/>
      <c r="G128" s="18" t="n"/>
      <c r="H128" s="12">
        <f>IF(F128="","",IF(G128&lt;&gt;"","Paid",IF(E128="","Sent",IF(E128&lt;TODAY(),"Overdue","Sent"))))</f>
        <v/>
      </c>
      <c r="I128" s="12">
        <f>IF(H128="Overdue",TODAY()-E128,"")</f>
        <v/>
      </c>
    </row>
    <row r="129">
      <c r="A129" s="16" t="n"/>
      <c r="B129" s="16" t="n"/>
      <c r="C129" s="16" t="n"/>
      <c r="D129" s="18" t="n"/>
      <c r="E129" s="19">
        <f>IF(D129="","",D129+Settings!$B$5)</f>
        <v/>
      </c>
      <c r="F129" s="20" t="n"/>
      <c r="G129" s="18" t="n"/>
      <c r="H129" s="12">
        <f>IF(F129="","",IF(G129&lt;&gt;"","Paid",IF(E129="","Sent",IF(E129&lt;TODAY(),"Overdue","Sent"))))</f>
        <v/>
      </c>
      <c r="I129" s="12">
        <f>IF(H129="Overdue",TODAY()-E129,"")</f>
        <v/>
      </c>
    </row>
    <row r="130">
      <c r="A130" s="16" t="n"/>
      <c r="B130" s="16" t="n"/>
      <c r="C130" s="16" t="n"/>
      <c r="D130" s="18" t="n"/>
      <c r="E130" s="19">
        <f>IF(D130="","",D130+Settings!$B$5)</f>
        <v/>
      </c>
      <c r="F130" s="20" t="n"/>
      <c r="G130" s="18" t="n"/>
      <c r="H130" s="12">
        <f>IF(F130="","",IF(G130&lt;&gt;"","Paid",IF(E130="","Sent",IF(E130&lt;TODAY(),"Overdue","Sent"))))</f>
        <v/>
      </c>
      <c r="I130" s="12">
        <f>IF(H130="Overdue",TODAY()-E130,"")</f>
        <v/>
      </c>
    </row>
    <row r="131">
      <c r="A131" s="16" t="n"/>
      <c r="B131" s="16" t="n"/>
      <c r="C131" s="16" t="n"/>
      <c r="D131" s="18" t="n"/>
      <c r="E131" s="19">
        <f>IF(D131="","",D131+Settings!$B$5)</f>
        <v/>
      </c>
      <c r="F131" s="20" t="n"/>
      <c r="G131" s="18" t="n"/>
      <c r="H131" s="12">
        <f>IF(F131="","",IF(G131&lt;&gt;"","Paid",IF(E131="","Sent",IF(E131&lt;TODAY(),"Overdue","Sent"))))</f>
        <v/>
      </c>
      <c r="I131" s="12">
        <f>IF(H131="Overdue",TODAY()-E131,"")</f>
        <v/>
      </c>
    </row>
    <row r="132">
      <c r="A132" s="16" t="n"/>
      <c r="B132" s="16" t="n"/>
      <c r="C132" s="16" t="n"/>
      <c r="D132" s="18" t="n"/>
      <c r="E132" s="19">
        <f>IF(D132="","",D132+Settings!$B$5)</f>
        <v/>
      </c>
      <c r="F132" s="20" t="n"/>
      <c r="G132" s="18" t="n"/>
      <c r="H132" s="12">
        <f>IF(F132="","",IF(G132&lt;&gt;"","Paid",IF(E132="","Sent",IF(E132&lt;TODAY(),"Overdue","Sent"))))</f>
        <v/>
      </c>
      <c r="I132" s="12">
        <f>IF(H132="Overdue",TODAY()-E132,"")</f>
        <v/>
      </c>
    </row>
    <row r="133">
      <c r="A133" s="16" t="n"/>
      <c r="B133" s="16" t="n"/>
      <c r="C133" s="16" t="n"/>
      <c r="D133" s="18" t="n"/>
      <c r="E133" s="19">
        <f>IF(D133="","",D133+Settings!$B$5)</f>
        <v/>
      </c>
      <c r="F133" s="20" t="n"/>
      <c r="G133" s="18" t="n"/>
      <c r="H133" s="12">
        <f>IF(F133="","",IF(G133&lt;&gt;"","Paid",IF(E133="","Sent",IF(E133&lt;TODAY(),"Overdue","Sent"))))</f>
        <v/>
      </c>
      <c r="I133" s="12">
        <f>IF(H133="Overdue",TODAY()-E133,"")</f>
        <v/>
      </c>
    </row>
    <row r="134">
      <c r="A134" s="16" t="n"/>
      <c r="B134" s="16" t="n"/>
      <c r="C134" s="16" t="n"/>
      <c r="D134" s="18" t="n"/>
      <c r="E134" s="19">
        <f>IF(D134="","",D134+Settings!$B$5)</f>
        <v/>
      </c>
      <c r="F134" s="20" t="n"/>
      <c r="G134" s="18" t="n"/>
      <c r="H134" s="12">
        <f>IF(F134="","",IF(G134&lt;&gt;"","Paid",IF(E134="","Sent",IF(E134&lt;TODAY(),"Overdue","Sent"))))</f>
        <v/>
      </c>
      <c r="I134" s="12">
        <f>IF(H134="Overdue",TODAY()-E134,"")</f>
        <v/>
      </c>
    </row>
    <row r="135">
      <c r="A135" s="16" t="n"/>
      <c r="B135" s="16" t="n"/>
      <c r="C135" s="16" t="n"/>
      <c r="D135" s="18" t="n"/>
      <c r="E135" s="19">
        <f>IF(D135="","",D135+Settings!$B$5)</f>
        <v/>
      </c>
      <c r="F135" s="20" t="n"/>
      <c r="G135" s="18" t="n"/>
      <c r="H135" s="12">
        <f>IF(F135="","",IF(G135&lt;&gt;"","Paid",IF(E135="","Sent",IF(E135&lt;TODAY(),"Overdue","Sent"))))</f>
        <v/>
      </c>
      <c r="I135" s="12">
        <f>IF(H135="Overdue",TODAY()-E135,"")</f>
        <v/>
      </c>
    </row>
    <row r="136">
      <c r="A136" s="16" t="n"/>
      <c r="B136" s="16" t="n"/>
      <c r="C136" s="16" t="n"/>
      <c r="D136" s="18" t="n"/>
      <c r="E136" s="19">
        <f>IF(D136="","",D136+Settings!$B$5)</f>
        <v/>
      </c>
      <c r="F136" s="20" t="n"/>
      <c r="G136" s="18" t="n"/>
      <c r="H136" s="12">
        <f>IF(F136="","",IF(G136&lt;&gt;"","Paid",IF(E136="","Sent",IF(E136&lt;TODAY(),"Overdue","Sent"))))</f>
        <v/>
      </c>
      <c r="I136" s="12">
        <f>IF(H136="Overdue",TODAY()-E136,"")</f>
        <v/>
      </c>
    </row>
    <row r="137">
      <c r="A137" s="16" t="n"/>
      <c r="B137" s="16" t="n"/>
      <c r="C137" s="16" t="n"/>
      <c r="D137" s="18" t="n"/>
      <c r="E137" s="19">
        <f>IF(D137="","",D137+Settings!$B$5)</f>
        <v/>
      </c>
      <c r="F137" s="20" t="n"/>
      <c r="G137" s="18" t="n"/>
      <c r="H137" s="12">
        <f>IF(F137="","",IF(G137&lt;&gt;"","Paid",IF(E137="","Sent",IF(E137&lt;TODAY(),"Overdue","Sent"))))</f>
        <v/>
      </c>
      <c r="I137" s="12">
        <f>IF(H137="Overdue",TODAY()-E137,"")</f>
        <v/>
      </c>
    </row>
    <row r="138">
      <c r="A138" s="16" t="n"/>
      <c r="B138" s="16" t="n"/>
      <c r="C138" s="16" t="n"/>
      <c r="D138" s="18" t="n"/>
      <c r="E138" s="19">
        <f>IF(D138="","",D138+Settings!$B$5)</f>
        <v/>
      </c>
      <c r="F138" s="20" t="n"/>
      <c r="G138" s="18" t="n"/>
      <c r="H138" s="12">
        <f>IF(F138="","",IF(G138&lt;&gt;"","Paid",IF(E138="","Sent",IF(E138&lt;TODAY(),"Overdue","Sent"))))</f>
        <v/>
      </c>
      <c r="I138" s="12">
        <f>IF(H138="Overdue",TODAY()-E138,"")</f>
        <v/>
      </c>
    </row>
    <row r="139">
      <c r="A139" s="16" t="n"/>
      <c r="B139" s="16" t="n"/>
      <c r="C139" s="16" t="n"/>
      <c r="D139" s="18" t="n"/>
      <c r="E139" s="19">
        <f>IF(D139="","",D139+Settings!$B$5)</f>
        <v/>
      </c>
      <c r="F139" s="20" t="n"/>
      <c r="G139" s="18" t="n"/>
      <c r="H139" s="12">
        <f>IF(F139="","",IF(G139&lt;&gt;"","Paid",IF(E139="","Sent",IF(E139&lt;TODAY(),"Overdue","Sent"))))</f>
        <v/>
      </c>
      <c r="I139" s="12">
        <f>IF(H139="Overdue",TODAY()-E139,"")</f>
        <v/>
      </c>
    </row>
    <row r="140">
      <c r="A140" s="16" t="n"/>
      <c r="B140" s="16" t="n"/>
      <c r="C140" s="16" t="n"/>
      <c r="D140" s="18" t="n"/>
      <c r="E140" s="19">
        <f>IF(D140="","",D140+Settings!$B$5)</f>
        <v/>
      </c>
      <c r="F140" s="20" t="n"/>
      <c r="G140" s="18" t="n"/>
      <c r="H140" s="12">
        <f>IF(F140="","",IF(G140&lt;&gt;"","Paid",IF(E140="","Sent",IF(E140&lt;TODAY(),"Overdue","Sent"))))</f>
        <v/>
      </c>
      <c r="I140" s="12">
        <f>IF(H140="Overdue",TODAY()-E140,"")</f>
        <v/>
      </c>
    </row>
    <row r="141">
      <c r="A141" s="16" t="n"/>
      <c r="B141" s="16" t="n"/>
      <c r="C141" s="16" t="n"/>
      <c r="D141" s="18" t="n"/>
      <c r="E141" s="19">
        <f>IF(D141="","",D141+Settings!$B$5)</f>
        <v/>
      </c>
      <c r="F141" s="20" t="n"/>
      <c r="G141" s="18" t="n"/>
      <c r="H141" s="12">
        <f>IF(F141="","",IF(G141&lt;&gt;"","Paid",IF(E141="","Sent",IF(E141&lt;TODAY(),"Overdue","Sent"))))</f>
        <v/>
      </c>
      <c r="I141" s="12">
        <f>IF(H141="Overdue",TODAY()-E141,"")</f>
        <v/>
      </c>
    </row>
    <row r="142">
      <c r="A142" s="16" t="n"/>
      <c r="B142" s="16" t="n"/>
      <c r="C142" s="16" t="n"/>
      <c r="D142" s="18" t="n"/>
      <c r="E142" s="19">
        <f>IF(D142="","",D142+Settings!$B$5)</f>
        <v/>
      </c>
      <c r="F142" s="20" t="n"/>
      <c r="G142" s="18" t="n"/>
      <c r="H142" s="12">
        <f>IF(F142="","",IF(G142&lt;&gt;"","Paid",IF(E142="","Sent",IF(E142&lt;TODAY(),"Overdue","Sent"))))</f>
        <v/>
      </c>
      <c r="I142" s="12">
        <f>IF(H142="Overdue",TODAY()-E142,"")</f>
        <v/>
      </c>
    </row>
    <row r="143">
      <c r="A143" s="16" t="n"/>
      <c r="B143" s="16" t="n"/>
      <c r="C143" s="16" t="n"/>
      <c r="D143" s="18" t="n"/>
      <c r="E143" s="19">
        <f>IF(D143="","",D143+Settings!$B$5)</f>
        <v/>
      </c>
      <c r="F143" s="20" t="n"/>
      <c r="G143" s="18" t="n"/>
      <c r="H143" s="12">
        <f>IF(F143="","",IF(G143&lt;&gt;"","Paid",IF(E143="","Sent",IF(E143&lt;TODAY(),"Overdue","Sent"))))</f>
        <v/>
      </c>
      <c r="I143" s="12">
        <f>IF(H143="Overdue",TODAY()-E143,"")</f>
        <v/>
      </c>
    </row>
    <row r="144">
      <c r="A144" s="16" t="n"/>
      <c r="B144" s="16" t="n"/>
      <c r="C144" s="16" t="n"/>
      <c r="D144" s="18" t="n"/>
      <c r="E144" s="19">
        <f>IF(D144="","",D144+Settings!$B$5)</f>
        <v/>
      </c>
      <c r="F144" s="20" t="n"/>
      <c r="G144" s="18" t="n"/>
      <c r="H144" s="12">
        <f>IF(F144="","",IF(G144&lt;&gt;"","Paid",IF(E144="","Sent",IF(E144&lt;TODAY(),"Overdue","Sent"))))</f>
        <v/>
      </c>
      <c r="I144" s="12">
        <f>IF(H144="Overdue",TODAY()-E144,"")</f>
        <v/>
      </c>
    </row>
    <row r="145">
      <c r="A145" s="16" t="n"/>
      <c r="B145" s="16" t="n"/>
      <c r="C145" s="16" t="n"/>
      <c r="D145" s="18" t="n"/>
      <c r="E145" s="19">
        <f>IF(D145="","",D145+Settings!$B$5)</f>
        <v/>
      </c>
      <c r="F145" s="20" t="n"/>
      <c r="G145" s="18" t="n"/>
      <c r="H145" s="12">
        <f>IF(F145="","",IF(G145&lt;&gt;"","Paid",IF(E145="","Sent",IF(E145&lt;TODAY(),"Overdue","Sent"))))</f>
        <v/>
      </c>
      <c r="I145" s="12">
        <f>IF(H145="Overdue",TODAY()-E145,"")</f>
        <v/>
      </c>
    </row>
    <row r="146">
      <c r="A146" s="16" t="n"/>
      <c r="B146" s="16" t="n"/>
      <c r="C146" s="16" t="n"/>
      <c r="D146" s="18" t="n"/>
      <c r="E146" s="19">
        <f>IF(D146="","",D146+Settings!$B$5)</f>
        <v/>
      </c>
      <c r="F146" s="20" t="n"/>
      <c r="G146" s="18" t="n"/>
      <c r="H146" s="12">
        <f>IF(F146="","",IF(G146&lt;&gt;"","Paid",IF(E146="","Sent",IF(E146&lt;TODAY(),"Overdue","Sent"))))</f>
        <v/>
      </c>
      <c r="I146" s="12">
        <f>IF(H146="Overdue",TODAY()-E146,"")</f>
        <v/>
      </c>
    </row>
    <row r="147">
      <c r="A147" s="16" t="n"/>
      <c r="B147" s="16" t="n"/>
      <c r="C147" s="16" t="n"/>
      <c r="D147" s="18" t="n"/>
      <c r="E147" s="19">
        <f>IF(D147="","",D147+Settings!$B$5)</f>
        <v/>
      </c>
      <c r="F147" s="20" t="n"/>
      <c r="G147" s="18" t="n"/>
      <c r="H147" s="12">
        <f>IF(F147="","",IF(G147&lt;&gt;"","Paid",IF(E147="","Sent",IF(E147&lt;TODAY(),"Overdue","Sent"))))</f>
        <v/>
      </c>
      <c r="I147" s="12">
        <f>IF(H147="Overdue",TODAY()-E147,"")</f>
        <v/>
      </c>
    </row>
    <row r="148">
      <c r="A148" s="16" t="n"/>
      <c r="B148" s="16" t="n"/>
      <c r="C148" s="16" t="n"/>
      <c r="D148" s="18" t="n"/>
      <c r="E148" s="19">
        <f>IF(D148="","",D148+Settings!$B$5)</f>
        <v/>
      </c>
      <c r="F148" s="20" t="n"/>
      <c r="G148" s="18" t="n"/>
      <c r="H148" s="12">
        <f>IF(F148="","",IF(G148&lt;&gt;"","Paid",IF(E148="","Sent",IF(E148&lt;TODAY(),"Overdue","Sent"))))</f>
        <v/>
      </c>
      <c r="I148" s="12">
        <f>IF(H148="Overdue",TODAY()-E148,"")</f>
        <v/>
      </c>
    </row>
    <row r="149">
      <c r="A149" s="16" t="n"/>
      <c r="B149" s="16" t="n"/>
      <c r="C149" s="16" t="n"/>
      <c r="D149" s="18" t="n"/>
      <c r="E149" s="19">
        <f>IF(D149="","",D149+Settings!$B$5)</f>
        <v/>
      </c>
      <c r="F149" s="20" t="n"/>
      <c r="G149" s="18" t="n"/>
      <c r="H149" s="12">
        <f>IF(F149="","",IF(G149&lt;&gt;"","Paid",IF(E149="","Sent",IF(E149&lt;TODAY(),"Overdue","Sent"))))</f>
        <v/>
      </c>
      <c r="I149" s="12">
        <f>IF(H149="Overdue",TODAY()-E149,"")</f>
        <v/>
      </c>
    </row>
    <row r="150">
      <c r="A150" s="16" t="n"/>
      <c r="B150" s="16" t="n"/>
      <c r="C150" s="16" t="n"/>
      <c r="D150" s="18" t="n"/>
      <c r="E150" s="19">
        <f>IF(D150="","",D150+Settings!$B$5)</f>
        <v/>
      </c>
      <c r="F150" s="20" t="n"/>
      <c r="G150" s="18" t="n"/>
      <c r="H150" s="12">
        <f>IF(F150="","",IF(G150&lt;&gt;"","Paid",IF(E150="","Sent",IF(E150&lt;TODAY(),"Overdue","Sent"))))</f>
        <v/>
      </c>
      <c r="I150" s="12">
        <f>IF(H150="Overdue",TODAY()-E150,"")</f>
        <v/>
      </c>
    </row>
    <row r="151">
      <c r="A151" s="16" t="n"/>
      <c r="B151" s="16" t="n"/>
      <c r="C151" s="16" t="n"/>
      <c r="D151" s="18" t="n"/>
      <c r="E151" s="19">
        <f>IF(D151="","",D151+Settings!$B$5)</f>
        <v/>
      </c>
      <c r="F151" s="20" t="n"/>
      <c r="G151" s="18" t="n"/>
      <c r="H151" s="12">
        <f>IF(F151="","",IF(G151&lt;&gt;"","Paid",IF(E151="","Sent",IF(E151&lt;TODAY(),"Overdue","Sent"))))</f>
        <v/>
      </c>
      <c r="I151" s="12">
        <f>IF(H151="Overdue",TODAY()-E151,"")</f>
        <v/>
      </c>
    </row>
    <row r="152">
      <c r="A152" s="16" t="n"/>
      <c r="B152" s="16" t="n"/>
      <c r="C152" s="16" t="n"/>
      <c r="D152" s="18" t="n"/>
      <c r="E152" s="19">
        <f>IF(D152="","",D152+Settings!$B$5)</f>
        <v/>
      </c>
      <c r="F152" s="20" t="n"/>
      <c r="G152" s="18" t="n"/>
      <c r="H152" s="12">
        <f>IF(F152="","",IF(G152&lt;&gt;"","Paid",IF(E152="","Sent",IF(E152&lt;TODAY(),"Overdue","Sent"))))</f>
        <v/>
      </c>
      <c r="I152" s="12">
        <f>IF(H152="Overdue",TODAY()-E152,"")</f>
        <v/>
      </c>
    </row>
    <row r="153">
      <c r="A153" s="16" t="n"/>
      <c r="B153" s="16" t="n"/>
      <c r="C153" s="16" t="n"/>
      <c r="D153" s="18" t="n"/>
      <c r="E153" s="19">
        <f>IF(D153="","",D153+Settings!$B$5)</f>
        <v/>
      </c>
      <c r="F153" s="20" t="n"/>
      <c r="G153" s="18" t="n"/>
      <c r="H153" s="12">
        <f>IF(F153="","",IF(G153&lt;&gt;"","Paid",IF(E153="","Sent",IF(E153&lt;TODAY(),"Overdue","Sent"))))</f>
        <v/>
      </c>
      <c r="I153" s="12">
        <f>IF(H153="Overdue",TODAY()-E153,"")</f>
        <v/>
      </c>
    </row>
    <row r="154">
      <c r="A154" s="16" t="n"/>
      <c r="B154" s="16" t="n"/>
      <c r="C154" s="16" t="n"/>
      <c r="D154" s="18" t="n"/>
      <c r="E154" s="19">
        <f>IF(D154="","",D154+Settings!$B$5)</f>
        <v/>
      </c>
      <c r="F154" s="20" t="n"/>
      <c r="G154" s="18" t="n"/>
      <c r="H154" s="12">
        <f>IF(F154="","",IF(G154&lt;&gt;"","Paid",IF(E154="","Sent",IF(E154&lt;TODAY(),"Overdue","Sent"))))</f>
        <v/>
      </c>
      <c r="I154" s="12">
        <f>IF(H154="Overdue",TODAY()-E154,"")</f>
        <v/>
      </c>
    </row>
    <row r="155">
      <c r="A155" s="16" t="n"/>
      <c r="B155" s="16" t="n"/>
      <c r="C155" s="16" t="n"/>
      <c r="D155" s="18" t="n"/>
      <c r="E155" s="19">
        <f>IF(D155="","",D155+Settings!$B$5)</f>
        <v/>
      </c>
      <c r="F155" s="20" t="n"/>
      <c r="G155" s="18" t="n"/>
      <c r="H155" s="12">
        <f>IF(F155="","",IF(G155&lt;&gt;"","Paid",IF(E155="","Sent",IF(E155&lt;TODAY(),"Overdue","Sent"))))</f>
        <v/>
      </c>
      <c r="I155" s="12">
        <f>IF(H155="Overdue",TODAY()-E155,"")</f>
        <v/>
      </c>
    </row>
    <row r="156">
      <c r="A156" s="16" t="n"/>
      <c r="B156" s="16" t="n"/>
      <c r="C156" s="16" t="n"/>
      <c r="D156" s="18" t="n"/>
      <c r="E156" s="19">
        <f>IF(D156="","",D156+Settings!$B$5)</f>
        <v/>
      </c>
      <c r="F156" s="20" t="n"/>
      <c r="G156" s="18" t="n"/>
      <c r="H156" s="12">
        <f>IF(F156="","",IF(G156&lt;&gt;"","Paid",IF(E156="","Sent",IF(E156&lt;TODAY(),"Overdue","Sent"))))</f>
        <v/>
      </c>
      <c r="I156" s="12">
        <f>IF(H156="Overdue",TODAY()-E156,"")</f>
        <v/>
      </c>
    </row>
    <row r="157">
      <c r="A157" s="16" t="n"/>
      <c r="B157" s="16" t="n"/>
      <c r="C157" s="16" t="n"/>
      <c r="D157" s="18" t="n"/>
      <c r="E157" s="19">
        <f>IF(D157="","",D157+Settings!$B$5)</f>
        <v/>
      </c>
      <c r="F157" s="20" t="n"/>
      <c r="G157" s="18" t="n"/>
      <c r="H157" s="12">
        <f>IF(F157="","",IF(G157&lt;&gt;"","Paid",IF(E157="","Sent",IF(E157&lt;TODAY(),"Overdue","Sent"))))</f>
        <v/>
      </c>
      <c r="I157" s="12">
        <f>IF(H157="Overdue",TODAY()-E157,"")</f>
        <v/>
      </c>
    </row>
    <row r="158">
      <c r="A158" s="16" t="n"/>
      <c r="B158" s="16" t="n"/>
      <c r="C158" s="16" t="n"/>
      <c r="D158" s="18" t="n"/>
      <c r="E158" s="19">
        <f>IF(D158="","",D158+Settings!$B$5)</f>
        <v/>
      </c>
      <c r="F158" s="20" t="n"/>
      <c r="G158" s="18" t="n"/>
      <c r="H158" s="12">
        <f>IF(F158="","",IF(G158&lt;&gt;"","Paid",IF(E158="","Sent",IF(E158&lt;TODAY(),"Overdue","Sent"))))</f>
        <v/>
      </c>
      <c r="I158" s="12">
        <f>IF(H158="Overdue",TODAY()-E158,"")</f>
        <v/>
      </c>
    </row>
    <row r="159">
      <c r="A159" s="16" t="n"/>
      <c r="B159" s="16" t="n"/>
      <c r="C159" s="16" t="n"/>
      <c r="D159" s="18" t="n"/>
      <c r="E159" s="19">
        <f>IF(D159="","",D159+Settings!$B$5)</f>
        <v/>
      </c>
      <c r="F159" s="20" t="n"/>
      <c r="G159" s="18" t="n"/>
      <c r="H159" s="12">
        <f>IF(F159="","",IF(G159&lt;&gt;"","Paid",IF(E159="","Sent",IF(E159&lt;TODAY(),"Overdue","Sent"))))</f>
        <v/>
      </c>
      <c r="I159" s="12">
        <f>IF(H159="Overdue",TODAY()-E159,"")</f>
        <v/>
      </c>
    </row>
    <row r="160">
      <c r="A160" s="16" t="n"/>
      <c r="B160" s="16" t="n"/>
      <c r="C160" s="16" t="n"/>
      <c r="D160" s="18" t="n"/>
      <c r="E160" s="19">
        <f>IF(D160="","",D160+Settings!$B$5)</f>
        <v/>
      </c>
      <c r="F160" s="20" t="n"/>
      <c r="G160" s="18" t="n"/>
      <c r="H160" s="12">
        <f>IF(F160="","",IF(G160&lt;&gt;"","Paid",IF(E160="","Sent",IF(E160&lt;TODAY(),"Overdue","Sent"))))</f>
        <v/>
      </c>
      <c r="I160" s="12">
        <f>IF(H160="Overdue",TODAY()-E160,"")</f>
        <v/>
      </c>
    </row>
    <row r="161">
      <c r="A161" s="16" t="n"/>
      <c r="B161" s="16" t="n"/>
      <c r="C161" s="16" t="n"/>
      <c r="D161" s="18" t="n"/>
      <c r="E161" s="19">
        <f>IF(D161="","",D161+Settings!$B$5)</f>
        <v/>
      </c>
      <c r="F161" s="20" t="n"/>
      <c r="G161" s="18" t="n"/>
      <c r="H161" s="12">
        <f>IF(F161="","",IF(G161&lt;&gt;"","Paid",IF(E161="","Sent",IF(E161&lt;TODAY(),"Overdue","Sent"))))</f>
        <v/>
      </c>
      <c r="I161" s="12">
        <f>IF(H161="Overdue",TODAY()-E161,"")</f>
        <v/>
      </c>
    </row>
    <row r="162">
      <c r="A162" s="16" t="n"/>
      <c r="B162" s="16" t="n"/>
      <c r="C162" s="16" t="n"/>
      <c r="D162" s="18" t="n"/>
      <c r="E162" s="19">
        <f>IF(D162="","",D162+Settings!$B$5)</f>
        <v/>
      </c>
      <c r="F162" s="20" t="n"/>
      <c r="G162" s="18" t="n"/>
      <c r="H162" s="12">
        <f>IF(F162="","",IF(G162&lt;&gt;"","Paid",IF(E162="","Sent",IF(E162&lt;TODAY(),"Overdue","Sent"))))</f>
        <v/>
      </c>
      <c r="I162" s="12">
        <f>IF(H162="Overdue",TODAY()-E162,"")</f>
        <v/>
      </c>
    </row>
    <row r="163">
      <c r="A163" s="16" t="n"/>
      <c r="B163" s="16" t="n"/>
      <c r="C163" s="16" t="n"/>
      <c r="D163" s="18" t="n"/>
      <c r="E163" s="19">
        <f>IF(D163="","",D163+Settings!$B$5)</f>
        <v/>
      </c>
      <c r="F163" s="20" t="n"/>
      <c r="G163" s="18" t="n"/>
      <c r="H163" s="12">
        <f>IF(F163="","",IF(G163&lt;&gt;"","Paid",IF(E163="","Sent",IF(E163&lt;TODAY(),"Overdue","Sent"))))</f>
        <v/>
      </c>
      <c r="I163" s="12">
        <f>IF(H163="Overdue",TODAY()-E163,"")</f>
        <v/>
      </c>
    </row>
    <row r="164">
      <c r="A164" s="16" t="n"/>
      <c r="B164" s="16" t="n"/>
      <c r="C164" s="16" t="n"/>
      <c r="D164" s="18" t="n"/>
      <c r="E164" s="19">
        <f>IF(D164="","",D164+Settings!$B$5)</f>
        <v/>
      </c>
      <c r="F164" s="20" t="n"/>
      <c r="G164" s="18" t="n"/>
      <c r="H164" s="12">
        <f>IF(F164="","",IF(G164&lt;&gt;"","Paid",IF(E164="","Sent",IF(E164&lt;TODAY(),"Overdue","Sent"))))</f>
        <v/>
      </c>
      <c r="I164" s="12">
        <f>IF(H164="Overdue",TODAY()-E164,"")</f>
        <v/>
      </c>
    </row>
    <row r="165">
      <c r="A165" s="16" t="n"/>
      <c r="B165" s="16" t="n"/>
      <c r="C165" s="16" t="n"/>
      <c r="D165" s="18" t="n"/>
      <c r="E165" s="19">
        <f>IF(D165="","",D165+Settings!$B$5)</f>
        <v/>
      </c>
      <c r="F165" s="20" t="n"/>
      <c r="G165" s="18" t="n"/>
      <c r="H165" s="12">
        <f>IF(F165="","",IF(G165&lt;&gt;"","Paid",IF(E165="","Sent",IF(E165&lt;TODAY(),"Overdue","Sent"))))</f>
        <v/>
      </c>
      <c r="I165" s="12">
        <f>IF(H165="Overdue",TODAY()-E165,"")</f>
        <v/>
      </c>
    </row>
    <row r="166">
      <c r="A166" s="16" t="n"/>
      <c r="B166" s="16" t="n"/>
      <c r="C166" s="16" t="n"/>
      <c r="D166" s="18" t="n"/>
      <c r="E166" s="19">
        <f>IF(D166="","",D166+Settings!$B$5)</f>
        <v/>
      </c>
      <c r="F166" s="20" t="n"/>
      <c r="G166" s="18" t="n"/>
      <c r="H166" s="12">
        <f>IF(F166="","",IF(G166&lt;&gt;"","Paid",IF(E166="","Sent",IF(E166&lt;TODAY(),"Overdue","Sent"))))</f>
        <v/>
      </c>
      <c r="I166" s="12">
        <f>IF(H166="Overdue",TODAY()-E166,"")</f>
        <v/>
      </c>
    </row>
    <row r="167">
      <c r="A167" s="16" t="n"/>
      <c r="B167" s="16" t="n"/>
      <c r="C167" s="16" t="n"/>
      <c r="D167" s="18" t="n"/>
      <c r="E167" s="19">
        <f>IF(D167="","",D167+Settings!$B$5)</f>
        <v/>
      </c>
      <c r="F167" s="20" t="n"/>
      <c r="G167" s="18" t="n"/>
      <c r="H167" s="12">
        <f>IF(F167="","",IF(G167&lt;&gt;"","Paid",IF(E167="","Sent",IF(E167&lt;TODAY(),"Overdue","Sent"))))</f>
        <v/>
      </c>
      <c r="I167" s="12">
        <f>IF(H167="Overdue",TODAY()-E167,"")</f>
        <v/>
      </c>
    </row>
    <row r="168">
      <c r="A168" s="16" t="n"/>
      <c r="B168" s="16" t="n"/>
      <c r="C168" s="16" t="n"/>
      <c r="D168" s="18" t="n"/>
      <c r="E168" s="19">
        <f>IF(D168="","",D168+Settings!$B$5)</f>
        <v/>
      </c>
      <c r="F168" s="20" t="n"/>
      <c r="G168" s="18" t="n"/>
      <c r="H168" s="12">
        <f>IF(F168="","",IF(G168&lt;&gt;"","Paid",IF(E168="","Sent",IF(E168&lt;TODAY(),"Overdue","Sent"))))</f>
        <v/>
      </c>
      <c r="I168" s="12">
        <f>IF(H168="Overdue",TODAY()-E168,"")</f>
        <v/>
      </c>
    </row>
    <row r="169">
      <c r="A169" s="16" t="n"/>
      <c r="B169" s="16" t="n"/>
      <c r="C169" s="16" t="n"/>
      <c r="D169" s="18" t="n"/>
      <c r="E169" s="19">
        <f>IF(D169="","",D169+Settings!$B$5)</f>
        <v/>
      </c>
      <c r="F169" s="20" t="n"/>
      <c r="G169" s="18" t="n"/>
      <c r="H169" s="12">
        <f>IF(F169="","",IF(G169&lt;&gt;"","Paid",IF(E169="","Sent",IF(E169&lt;TODAY(),"Overdue","Sent"))))</f>
        <v/>
      </c>
      <c r="I169" s="12">
        <f>IF(H169="Overdue",TODAY()-E169,"")</f>
        <v/>
      </c>
    </row>
    <row r="170">
      <c r="A170" s="16" t="n"/>
      <c r="B170" s="16" t="n"/>
      <c r="C170" s="16" t="n"/>
      <c r="D170" s="18" t="n"/>
      <c r="E170" s="19">
        <f>IF(D170="","",D170+Settings!$B$5)</f>
        <v/>
      </c>
      <c r="F170" s="20" t="n"/>
      <c r="G170" s="18" t="n"/>
      <c r="H170" s="12">
        <f>IF(F170="","",IF(G170&lt;&gt;"","Paid",IF(E170="","Sent",IF(E170&lt;TODAY(),"Overdue","Sent"))))</f>
        <v/>
      </c>
      <c r="I170" s="12">
        <f>IF(H170="Overdue",TODAY()-E170,"")</f>
        <v/>
      </c>
    </row>
    <row r="171">
      <c r="A171" s="16" t="n"/>
      <c r="B171" s="16" t="n"/>
      <c r="C171" s="16" t="n"/>
      <c r="D171" s="18" t="n"/>
      <c r="E171" s="19">
        <f>IF(D171="","",D171+Settings!$B$5)</f>
        <v/>
      </c>
      <c r="F171" s="20" t="n"/>
      <c r="G171" s="18" t="n"/>
      <c r="H171" s="12">
        <f>IF(F171="","",IF(G171&lt;&gt;"","Paid",IF(E171="","Sent",IF(E171&lt;TODAY(),"Overdue","Sent"))))</f>
        <v/>
      </c>
      <c r="I171" s="12">
        <f>IF(H171="Overdue",TODAY()-E171,"")</f>
        <v/>
      </c>
    </row>
    <row r="172">
      <c r="A172" s="16" t="n"/>
      <c r="B172" s="16" t="n"/>
      <c r="C172" s="16" t="n"/>
      <c r="D172" s="18" t="n"/>
      <c r="E172" s="19">
        <f>IF(D172="","",D172+Settings!$B$5)</f>
        <v/>
      </c>
      <c r="F172" s="20" t="n"/>
      <c r="G172" s="18" t="n"/>
      <c r="H172" s="12">
        <f>IF(F172="","",IF(G172&lt;&gt;"","Paid",IF(E172="","Sent",IF(E172&lt;TODAY(),"Overdue","Sent"))))</f>
        <v/>
      </c>
      <c r="I172" s="12">
        <f>IF(H172="Overdue",TODAY()-E172,"")</f>
        <v/>
      </c>
    </row>
    <row r="173">
      <c r="A173" s="16" t="n"/>
      <c r="B173" s="16" t="n"/>
      <c r="C173" s="16" t="n"/>
      <c r="D173" s="18" t="n"/>
      <c r="E173" s="19">
        <f>IF(D173="","",D173+Settings!$B$5)</f>
        <v/>
      </c>
      <c r="F173" s="20" t="n"/>
      <c r="G173" s="18" t="n"/>
      <c r="H173" s="12">
        <f>IF(F173="","",IF(G173&lt;&gt;"","Paid",IF(E173="","Sent",IF(E173&lt;TODAY(),"Overdue","Sent"))))</f>
        <v/>
      </c>
      <c r="I173" s="12">
        <f>IF(H173="Overdue",TODAY()-E173,"")</f>
        <v/>
      </c>
    </row>
    <row r="174">
      <c r="A174" s="16" t="n"/>
      <c r="B174" s="16" t="n"/>
      <c r="C174" s="16" t="n"/>
      <c r="D174" s="18" t="n"/>
      <c r="E174" s="19">
        <f>IF(D174="","",D174+Settings!$B$5)</f>
        <v/>
      </c>
      <c r="F174" s="20" t="n"/>
      <c r="G174" s="18" t="n"/>
      <c r="H174" s="12">
        <f>IF(F174="","",IF(G174&lt;&gt;"","Paid",IF(E174="","Sent",IF(E174&lt;TODAY(),"Overdue","Sent"))))</f>
        <v/>
      </c>
      <c r="I174" s="12">
        <f>IF(H174="Overdue",TODAY()-E174,"")</f>
        <v/>
      </c>
    </row>
    <row r="175">
      <c r="A175" s="16" t="n"/>
      <c r="B175" s="16" t="n"/>
      <c r="C175" s="16" t="n"/>
      <c r="D175" s="18" t="n"/>
      <c r="E175" s="19">
        <f>IF(D175="","",D175+Settings!$B$5)</f>
        <v/>
      </c>
      <c r="F175" s="20" t="n"/>
      <c r="G175" s="18" t="n"/>
      <c r="H175" s="12">
        <f>IF(F175="","",IF(G175&lt;&gt;"","Paid",IF(E175="","Sent",IF(E175&lt;TODAY(),"Overdue","Sent"))))</f>
        <v/>
      </c>
      <c r="I175" s="12">
        <f>IF(H175="Overdue",TODAY()-E175,"")</f>
        <v/>
      </c>
    </row>
    <row r="176">
      <c r="A176" s="16" t="n"/>
      <c r="B176" s="16" t="n"/>
      <c r="C176" s="16" t="n"/>
      <c r="D176" s="18" t="n"/>
      <c r="E176" s="19">
        <f>IF(D176="","",D176+Settings!$B$5)</f>
        <v/>
      </c>
      <c r="F176" s="20" t="n"/>
      <c r="G176" s="18" t="n"/>
      <c r="H176" s="12">
        <f>IF(F176="","",IF(G176&lt;&gt;"","Paid",IF(E176="","Sent",IF(E176&lt;TODAY(),"Overdue","Sent"))))</f>
        <v/>
      </c>
      <c r="I176" s="12">
        <f>IF(H176="Overdue",TODAY()-E176,"")</f>
        <v/>
      </c>
    </row>
    <row r="177">
      <c r="A177" s="16" t="n"/>
      <c r="B177" s="16" t="n"/>
      <c r="C177" s="16" t="n"/>
      <c r="D177" s="18" t="n"/>
      <c r="E177" s="19">
        <f>IF(D177="","",D177+Settings!$B$5)</f>
        <v/>
      </c>
      <c r="F177" s="20" t="n"/>
      <c r="G177" s="18" t="n"/>
      <c r="H177" s="12">
        <f>IF(F177="","",IF(G177&lt;&gt;"","Paid",IF(E177="","Sent",IF(E177&lt;TODAY(),"Overdue","Sent"))))</f>
        <v/>
      </c>
      <c r="I177" s="12">
        <f>IF(H177="Overdue",TODAY()-E177,"")</f>
        <v/>
      </c>
    </row>
    <row r="178">
      <c r="A178" s="16" t="n"/>
      <c r="B178" s="16" t="n"/>
      <c r="C178" s="16" t="n"/>
      <c r="D178" s="18" t="n"/>
      <c r="E178" s="19">
        <f>IF(D178="","",D178+Settings!$B$5)</f>
        <v/>
      </c>
      <c r="F178" s="20" t="n"/>
      <c r="G178" s="18" t="n"/>
      <c r="H178" s="12">
        <f>IF(F178="","",IF(G178&lt;&gt;"","Paid",IF(E178="","Sent",IF(E178&lt;TODAY(),"Overdue","Sent"))))</f>
        <v/>
      </c>
      <c r="I178" s="12">
        <f>IF(H178="Overdue",TODAY()-E178,"")</f>
        <v/>
      </c>
    </row>
    <row r="179">
      <c r="A179" s="16" t="n"/>
      <c r="B179" s="16" t="n"/>
      <c r="C179" s="16" t="n"/>
      <c r="D179" s="18" t="n"/>
      <c r="E179" s="19">
        <f>IF(D179="","",D179+Settings!$B$5)</f>
        <v/>
      </c>
      <c r="F179" s="20" t="n"/>
      <c r="G179" s="18" t="n"/>
      <c r="H179" s="12">
        <f>IF(F179="","",IF(G179&lt;&gt;"","Paid",IF(E179="","Sent",IF(E179&lt;TODAY(),"Overdue","Sent"))))</f>
        <v/>
      </c>
      <c r="I179" s="12">
        <f>IF(H179="Overdue",TODAY()-E179,"")</f>
        <v/>
      </c>
    </row>
    <row r="180">
      <c r="A180" s="16" t="n"/>
      <c r="B180" s="16" t="n"/>
      <c r="C180" s="16" t="n"/>
      <c r="D180" s="18" t="n"/>
      <c r="E180" s="19">
        <f>IF(D180="","",D180+Settings!$B$5)</f>
        <v/>
      </c>
      <c r="F180" s="20" t="n"/>
      <c r="G180" s="18" t="n"/>
      <c r="H180" s="12">
        <f>IF(F180="","",IF(G180&lt;&gt;"","Paid",IF(E180="","Sent",IF(E180&lt;TODAY(),"Overdue","Sent"))))</f>
        <v/>
      </c>
      <c r="I180" s="12">
        <f>IF(H180="Overdue",TODAY()-E180,"")</f>
        <v/>
      </c>
    </row>
    <row r="181">
      <c r="A181" s="16" t="n"/>
      <c r="B181" s="16" t="n"/>
      <c r="C181" s="16" t="n"/>
      <c r="D181" s="18" t="n"/>
      <c r="E181" s="19">
        <f>IF(D181="","",D181+Settings!$B$5)</f>
        <v/>
      </c>
      <c r="F181" s="20" t="n"/>
      <c r="G181" s="18" t="n"/>
      <c r="H181" s="12">
        <f>IF(F181="","",IF(G181&lt;&gt;"","Paid",IF(E181="","Sent",IF(E181&lt;TODAY(),"Overdue","Sent"))))</f>
        <v/>
      </c>
      <c r="I181" s="12">
        <f>IF(H181="Overdue",TODAY()-E181,"")</f>
        <v/>
      </c>
    </row>
    <row r="182">
      <c r="A182" s="16" t="n"/>
      <c r="B182" s="16" t="n"/>
      <c r="C182" s="16" t="n"/>
      <c r="D182" s="18" t="n"/>
      <c r="E182" s="19">
        <f>IF(D182="","",D182+Settings!$B$5)</f>
        <v/>
      </c>
      <c r="F182" s="20" t="n"/>
      <c r="G182" s="18" t="n"/>
      <c r="H182" s="12">
        <f>IF(F182="","",IF(G182&lt;&gt;"","Paid",IF(E182="","Sent",IF(E182&lt;TODAY(),"Overdue","Sent"))))</f>
        <v/>
      </c>
      <c r="I182" s="12">
        <f>IF(H182="Overdue",TODAY()-E182,"")</f>
        <v/>
      </c>
    </row>
    <row r="183">
      <c r="A183" s="16" t="n"/>
      <c r="B183" s="16" t="n"/>
      <c r="C183" s="16" t="n"/>
      <c r="D183" s="18" t="n"/>
      <c r="E183" s="19">
        <f>IF(D183="","",D183+Settings!$B$5)</f>
        <v/>
      </c>
      <c r="F183" s="20" t="n"/>
      <c r="G183" s="18" t="n"/>
      <c r="H183" s="12">
        <f>IF(F183="","",IF(G183&lt;&gt;"","Paid",IF(E183="","Sent",IF(E183&lt;TODAY(),"Overdue","Sent"))))</f>
        <v/>
      </c>
      <c r="I183" s="12">
        <f>IF(H183="Overdue",TODAY()-E183,"")</f>
        <v/>
      </c>
    </row>
    <row r="184">
      <c r="A184" s="16" t="n"/>
      <c r="B184" s="16" t="n"/>
      <c r="C184" s="16" t="n"/>
      <c r="D184" s="18" t="n"/>
      <c r="E184" s="19">
        <f>IF(D184="","",D184+Settings!$B$5)</f>
        <v/>
      </c>
      <c r="F184" s="20" t="n"/>
      <c r="G184" s="18" t="n"/>
      <c r="H184" s="12">
        <f>IF(F184="","",IF(G184&lt;&gt;"","Paid",IF(E184="","Sent",IF(E184&lt;TODAY(),"Overdue","Sent"))))</f>
        <v/>
      </c>
      <c r="I184" s="12">
        <f>IF(H184="Overdue",TODAY()-E184,"")</f>
        <v/>
      </c>
    </row>
    <row r="185">
      <c r="A185" s="16" t="n"/>
      <c r="B185" s="16" t="n"/>
      <c r="C185" s="16" t="n"/>
      <c r="D185" s="18" t="n"/>
      <c r="E185" s="19">
        <f>IF(D185="","",D185+Settings!$B$5)</f>
        <v/>
      </c>
      <c r="F185" s="20" t="n"/>
      <c r="G185" s="18" t="n"/>
      <c r="H185" s="12">
        <f>IF(F185="","",IF(G185&lt;&gt;"","Paid",IF(E185="","Sent",IF(E185&lt;TODAY(),"Overdue","Sent"))))</f>
        <v/>
      </c>
      <c r="I185" s="12">
        <f>IF(H185="Overdue",TODAY()-E185,"")</f>
        <v/>
      </c>
    </row>
    <row r="186">
      <c r="A186" s="16" t="n"/>
      <c r="B186" s="16" t="n"/>
      <c r="C186" s="16" t="n"/>
      <c r="D186" s="18" t="n"/>
      <c r="E186" s="19">
        <f>IF(D186="","",D186+Settings!$B$5)</f>
        <v/>
      </c>
      <c r="F186" s="20" t="n"/>
      <c r="G186" s="18" t="n"/>
      <c r="H186" s="12">
        <f>IF(F186="","",IF(G186&lt;&gt;"","Paid",IF(E186="","Sent",IF(E186&lt;TODAY(),"Overdue","Sent"))))</f>
        <v/>
      </c>
      <c r="I186" s="12">
        <f>IF(H186="Overdue",TODAY()-E186,"")</f>
        <v/>
      </c>
    </row>
    <row r="187">
      <c r="A187" s="16" t="n"/>
      <c r="B187" s="16" t="n"/>
      <c r="C187" s="16" t="n"/>
      <c r="D187" s="18" t="n"/>
      <c r="E187" s="19">
        <f>IF(D187="","",D187+Settings!$B$5)</f>
        <v/>
      </c>
      <c r="F187" s="20" t="n"/>
      <c r="G187" s="18" t="n"/>
      <c r="H187" s="12">
        <f>IF(F187="","",IF(G187&lt;&gt;"","Paid",IF(E187="","Sent",IF(E187&lt;TODAY(),"Overdue","Sent"))))</f>
        <v/>
      </c>
      <c r="I187" s="12">
        <f>IF(H187="Overdue",TODAY()-E187,"")</f>
        <v/>
      </c>
    </row>
    <row r="188">
      <c r="A188" s="16" t="n"/>
      <c r="B188" s="16" t="n"/>
      <c r="C188" s="16" t="n"/>
      <c r="D188" s="18" t="n"/>
      <c r="E188" s="19">
        <f>IF(D188="","",D188+Settings!$B$5)</f>
        <v/>
      </c>
      <c r="F188" s="20" t="n"/>
      <c r="G188" s="18" t="n"/>
      <c r="H188" s="12">
        <f>IF(F188="","",IF(G188&lt;&gt;"","Paid",IF(E188="","Sent",IF(E188&lt;TODAY(),"Overdue","Sent"))))</f>
        <v/>
      </c>
      <c r="I188" s="12">
        <f>IF(H188="Overdue",TODAY()-E188,"")</f>
        <v/>
      </c>
    </row>
    <row r="189">
      <c r="A189" s="16" t="n"/>
      <c r="B189" s="16" t="n"/>
      <c r="C189" s="16" t="n"/>
      <c r="D189" s="18" t="n"/>
      <c r="E189" s="19">
        <f>IF(D189="","",D189+Settings!$B$5)</f>
        <v/>
      </c>
      <c r="F189" s="20" t="n"/>
      <c r="G189" s="18" t="n"/>
      <c r="H189" s="12">
        <f>IF(F189="","",IF(G189&lt;&gt;"","Paid",IF(E189="","Sent",IF(E189&lt;TODAY(),"Overdue","Sent"))))</f>
        <v/>
      </c>
      <c r="I189" s="12">
        <f>IF(H189="Overdue",TODAY()-E189,"")</f>
        <v/>
      </c>
    </row>
    <row r="190">
      <c r="A190" s="16" t="n"/>
      <c r="B190" s="16" t="n"/>
      <c r="C190" s="16" t="n"/>
      <c r="D190" s="18" t="n"/>
      <c r="E190" s="19">
        <f>IF(D190="","",D190+Settings!$B$5)</f>
        <v/>
      </c>
      <c r="F190" s="20" t="n"/>
      <c r="G190" s="18" t="n"/>
      <c r="H190" s="12">
        <f>IF(F190="","",IF(G190&lt;&gt;"","Paid",IF(E190="","Sent",IF(E190&lt;TODAY(),"Overdue","Sent"))))</f>
        <v/>
      </c>
      <c r="I190" s="12">
        <f>IF(H190="Overdue",TODAY()-E190,"")</f>
        <v/>
      </c>
    </row>
    <row r="191">
      <c r="A191" s="16" t="n"/>
      <c r="B191" s="16" t="n"/>
      <c r="C191" s="16" t="n"/>
      <c r="D191" s="18" t="n"/>
      <c r="E191" s="19">
        <f>IF(D191="","",D191+Settings!$B$5)</f>
        <v/>
      </c>
      <c r="F191" s="20" t="n"/>
      <c r="G191" s="18" t="n"/>
      <c r="H191" s="12">
        <f>IF(F191="","",IF(G191&lt;&gt;"","Paid",IF(E191="","Sent",IF(E191&lt;TODAY(),"Overdue","Sent"))))</f>
        <v/>
      </c>
      <c r="I191" s="12">
        <f>IF(H191="Overdue",TODAY()-E191,"")</f>
        <v/>
      </c>
    </row>
    <row r="192">
      <c r="A192" s="16" t="n"/>
      <c r="B192" s="16" t="n"/>
      <c r="C192" s="16" t="n"/>
      <c r="D192" s="18" t="n"/>
      <c r="E192" s="19">
        <f>IF(D192="","",D192+Settings!$B$5)</f>
        <v/>
      </c>
      <c r="F192" s="20" t="n"/>
      <c r="G192" s="18" t="n"/>
      <c r="H192" s="12">
        <f>IF(F192="","",IF(G192&lt;&gt;"","Paid",IF(E192="","Sent",IF(E192&lt;TODAY(),"Overdue","Sent"))))</f>
        <v/>
      </c>
      <c r="I192" s="12">
        <f>IF(H192="Overdue",TODAY()-E192,"")</f>
        <v/>
      </c>
    </row>
    <row r="193">
      <c r="A193" s="16" t="n"/>
      <c r="B193" s="16" t="n"/>
      <c r="C193" s="16" t="n"/>
      <c r="D193" s="18" t="n"/>
      <c r="E193" s="19">
        <f>IF(D193="","",D193+Settings!$B$5)</f>
        <v/>
      </c>
      <c r="F193" s="20" t="n"/>
      <c r="G193" s="18" t="n"/>
      <c r="H193" s="12">
        <f>IF(F193="","",IF(G193&lt;&gt;"","Paid",IF(E193="","Sent",IF(E193&lt;TODAY(),"Overdue","Sent"))))</f>
        <v/>
      </c>
      <c r="I193" s="12">
        <f>IF(H193="Overdue",TODAY()-E193,"")</f>
        <v/>
      </c>
    </row>
    <row r="194">
      <c r="A194" s="16" t="n"/>
      <c r="B194" s="16" t="n"/>
      <c r="C194" s="16" t="n"/>
      <c r="D194" s="18" t="n"/>
      <c r="E194" s="19">
        <f>IF(D194="","",D194+Settings!$B$5)</f>
        <v/>
      </c>
      <c r="F194" s="20" t="n"/>
      <c r="G194" s="18" t="n"/>
      <c r="H194" s="12">
        <f>IF(F194="","",IF(G194&lt;&gt;"","Paid",IF(E194="","Sent",IF(E194&lt;TODAY(),"Overdue","Sent"))))</f>
        <v/>
      </c>
      <c r="I194" s="12">
        <f>IF(H194="Overdue",TODAY()-E194,"")</f>
        <v/>
      </c>
    </row>
    <row r="195">
      <c r="A195" s="16" t="n"/>
      <c r="B195" s="16" t="n"/>
      <c r="C195" s="16" t="n"/>
      <c r="D195" s="18" t="n"/>
      <c r="E195" s="19">
        <f>IF(D195="","",D195+Settings!$B$5)</f>
        <v/>
      </c>
      <c r="F195" s="20" t="n"/>
      <c r="G195" s="18" t="n"/>
      <c r="H195" s="12">
        <f>IF(F195="","",IF(G195&lt;&gt;"","Paid",IF(E195="","Sent",IF(E195&lt;TODAY(),"Overdue","Sent"))))</f>
        <v/>
      </c>
      <c r="I195" s="12">
        <f>IF(H195="Overdue",TODAY()-E195,"")</f>
        <v/>
      </c>
    </row>
    <row r="196">
      <c r="A196" s="16" t="n"/>
      <c r="B196" s="16" t="n"/>
      <c r="C196" s="16" t="n"/>
      <c r="D196" s="18" t="n"/>
      <c r="E196" s="19">
        <f>IF(D196="","",D196+Settings!$B$5)</f>
        <v/>
      </c>
      <c r="F196" s="20" t="n"/>
      <c r="G196" s="18" t="n"/>
      <c r="H196" s="12">
        <f>IF(F196="","",IF(G196&lt;&gt;"","Paid",IF(E196="","Sent",IF(E196&lt;TODAY(),"Overdue","Sent"))))</f>
        <v/>
      </c>
      <c r="I196" s="12">
        <f>IF(H196="Overdue",TODAY()-E196,"")</f>
        <v/>
      </c>
    </row>
    <row r="197">
      <c r="A197" s="16" t="n"/>
      <c r="B197" s="16" t="n"/>
      <c r="C197" s="16" t="n"/>
      <c r="D197" s="18" t="n"/>
      <c r="E197" s="19">
        <f>IF(D197="","",D197+Settings!$B$5)</f>
        <v/>
      </c>
      <c r="F197" s="20" t="n"/>
      <c r="G197" s="18" t="n"/>
      <c r="H197" s="12">
        <f>IF(F197="","",IF(G197&lt;&gt;"","Paid",IF(E197="","Sent",IF(E197&lt;TODAY(),"Overdue","Sent"))))</f>
        <v/>
      </c>
      <c r="I197" s="12">
        <f>IF(H197="Overdue",TODAY()-E197,"")</f>
        <v/>
      </c>
    </row>
    <row r="198">
      <c r="A198" s="16" t="n"/>
      <c r="B198" s="16" t="n"/>
      <c r="C198" s="16" t="n"/>
      <c r="D198" s="18" t="n"/>
      <c r="E198" s="19">
        <f>IF(D198="","",D198+Settings!$B$5)</f>
        <v/>
      </c>
      <c r="F198" s="20" t="n"/>
      <c r="G198" s="18" t="n"/>
      <c r="H198" s="12">
        <f>IF(F198="","",IF(G198&lt;&gt;"","Paid",IF(E198="","Sent",IF(E198&lt;TODAY(),"Overdue","Sent"))))</f>
        <v/>
      </c>
      <c r="I198" s="12">
        <f>IF(H198="Overdue",TODAY()-E198,"")</f>
        <v/>
      </c>
    </row>
    <row r="199">
      <c r="A199" s="16" t="n"/>
      <c r="B199" s="16" t="n"/>
      <c r="C199" s="16" t="n"/>
      <c r="D199" s="18" t="n"/>
      <c r="E199" s="19">
        <f>IF(D199="","",D199+Settings!$B$5)</f>
        <v/>
      </c>
      <c r="F199" s="20" t="n"/>
      <c r="G199" s="18" t="n"/>
      <c r="H199" s="12">
        <f>IF(F199="","",IF(G199&lt;&gt;"","Paid",IF(E199="","Sent",IF(E199&lt;TODAY(),"Overdue","Sent"))))</f>
        <v/>
      </c>
      <c r="I199" s="12">
        <f>IF(H199="Overdue",TODAY()-E199,"")</f>
        <v/>
      </c>
    </row>
    <row r="200">
      <c r="A200" s="16" t="n"/>
      <c r="B200" s="16" t="n"/>
      <c r="C200" s="16" t="n"/>
      <c r="D200" s="18" t="n"/>
      <c r="E200" s="19">
        <f>IF(D200="","",D200+Settings!$B$5)</f>
        <v/>
      </c>
      <c r="F200" s="20" t="n"/>
      <c r="G200" s="18" t="n"/>
      <c r="H200" s="12">
        <f>IF(F200="","",IF(G200&lt;&gt;"","Paid",IF(E200="","Sent",IF(E200&lt;TODAY(),"Overdue","Sent"))))</f>
        <v/>
      </c>
      <c r="I200" s="12">
        <f>IF(H200="Overdue",TODAY()-E200,"")</f>
        <v/>
      </c>
    </row>
    <row r="201">
      <c r="A201" s="16" t="n"/>
      <c r="B201" s="16" t="n"/>
      <c r="C201" s="16" t="n"/>
      <c r="D201" s="18" t="n"/>
      <c r="E201" s="19">
        <f>IF(D201="","",D201+Settings!$B$5)</f>
        <v/>
      </c>
      <c r="F201" s="20" t="n"/>
      <c r="G201" s="18" t="n"/>
      <c r="H201" s="12">
        <f>IF(F201="","",IF(G201&lt;&gt;"","Paid",IF(E201="","Sent",IF(E201&lt;TODAY(),"Overdue","Sent"))))</f>
        <v/>
      </c>
      <c r="I201" s="12">
        <f>IF(H201="Overdue",TODAY()-E201,"")</f>
        <v/>
      </c>
    </row>
    <row r="202">
      <c r="A202" s="16" t="n"/>
      <c r="B202" s="16" t="n"/>
      <c r="C202" s="16" t="n"/>
      <c r="D202" s="18" t="n"/>
      <c r="E202" s="19">
        <f>IF(D202="","",D202+Settings!$B$5)</f>
        <v/>
      </c>
      <c r="F202" s="20" t="n"/>
      <c r="G202" s="18" t="n"/>
      <c r="H202" s="12">
        <f>IF(F202="","",IF(G202&lt;&gt;"","Paid",IF(E202="","Sent",IF(E202&lt;TODAY(),"Overdue","Sent"))))</f>
        <v/>
      </c>
      <c r="I202" s="12">
        <f>IF(H202="Overdue",TODAY()-E202,"")</f>
        <v/>
      </c>
    </row>
    <row r="203">
      <c r="A203" s="16" t="n"/>
      <c r="B203" s="16" t="n"/>
      <c r="C203" s="16" t="n"/>
      <c r="D203" s="18" t="n"/>
      <c r="E203" s="19">
        <f>IF(D203="","",D203+Settings!$B$5)</f>
        <v/>
      </c>
      <c r="F203" s="20" t="n"/>
      <c r="G203" s="18" t="n"/>
      <c r="H203" s="12">
        <f>IF(F203="","",IF(G203&lt;&gt;"","Paid",IF(E203="","Sent",IF(E203&lt;TODAY(),"Overdue","Sent"))))</f>
        <v/>
      </c>
      <c r="I203" s="12">
        <f>IF(H203="Overdue",TODAY()-E203,"")</f>
        <v/>
      </c>
    </row>
    <row r="204">
      <c r="A204" s="16" t="n"/>
      <c r="B204" s="16" t="n"/>
      <c r="C204" s="16" t="n"/>
      <c r="D204" s="18" t="n"/>
      <c r="E204" s="19">
        <f>IF(D204="","",D204+Settings!$B$5)</f>
        <v/>
      </c>
      <c r="F204" s="20" t="n"/>
      <c r="G204" s="18" t="n"/>
      <c r="H204" s="12">
        <f>IF(F204="","",IF(G204&lt;&gt;"","Paid",IF(E204="","Sent",IF(E204&lt;TODAY(),"Overdue","Sent"))))</f>
        <v/>
      </c>
      <c r="I204" s="12">
        <f>IF(H204="Overdue",TODAY()-E204,"")</f>
        <v/>
      </c>
    </row>
    <row r="205">
      <c r="A205" s="16" t="n"/>
      <c r="B205" s="16" t="n"/>
      <c r="C205" s="16" t="n"/>
      <c r="D205" s="18" t="n"/>
      <c r="E205" s="19">
        <f>IF(D205="","",D205+Settings!$B$5)</f>
        <v/>
      </c>
      <c r="F205" s="20" t="n"/>
      <c r="G205" s="18" t="n"/>
      <c r="H205" s="12">
        <f>IF(F205="","",IF(G205&lt;&gt;"","Paid",IF(E205="","Sent",IF(E205&lt;TODAY(),"Overdue","Sent"))))</f>
        <v/>
      </c>
      <c r="I205" s="12">
        <f>IF(H205="Overdue",TODAY()-E205,"")</f>
        <v/>
      </c>
    </row>
    <row r="206">
      <c r="A206" s="16" t="n"/>
      <c r="B206" s="16" t="n"/>
      <c r="C206" s="16" t="n"/>
      <c r="D206" s="18" t="n"/>
      <c r="E206" s="19">
        <f>IF(D206="","",D206+Settings!$B$5)</f>
        <v/>
      </c>
      <c r="F206" s="20" t="n"/>
      <c r="G206" s="18" t="n"/>
      <c r="H206" s="12">
        <f>IF(F206="","",IF(G206&lt;&gt;"","Paid",IF(E206="","Sent",IF(E206&lt;TODAY(),"Overdue","Sent"))))</f>
        <v/>
      </c>
      <c r="I206" s="12">
        <f>IF(H206="Overdue",TODAY()-E206,"")</f>
        <v/>
      </c>
    </row>
    <row r="207">
      <c r="A207" s="16" t="n"/>
      <c r="B207" s="16" t="n"/>
      <c r="C207" s="16" t="n"/>
      <c r="D207" s="18" t="n"/>
      <c r="E207" s="19">
        <f>IF(D207="","",D207+Settings!$B$5)</f>
        <v/>
      </c>
      <c r="F207" s="20" t="n"/>
      <c r="G207" s="18" t="n"/>
      <c r="H207" s="12">
        <f>IF(F207="","",IF(G207&lt;&gt;"","Paid",IF(E207="","Sent",IF(E207&lt;TODAY(),"Overdue","Sent"))))</f>
        <v/>
      </c>
      <c r="I207" s="12">
        <f>IF(H207="Overdue",TODAY()-E207,"")</f>
        <v/>
      </c>
    </row>
    <row r="208">
      <c r="A208" s="16" t="n"/>
      <c r="B208" s="16" t="n"/>
      <c r="C208" s="16" t="n"/>
      <c r="D208" s="18" t="n"/>
      <c r="E208" s="19">
        <f>IF(D208="","",D208+Settings!$B$5)</f>
        <v/>
      </c>
      <c r="F208" s="20" t="n"/>
      <c r="G208" s="18" t="n"/>
      <c r="H208" s="12">
        <f>IF(F208="","",IF(G208&lt;&gt;"","Paid",IF(E208="","Sent",IF(E208&lt;TODAY(),"Overdue","Sent"))))</f>
        <v/>
      </c>
      <c r="I208" s="12">
        <f>IF(H208="Overdue",TODAY()-E208,"")</f>
        <v/>
      </c>
    </row>
    <row r="209">
      <c r="A209" s="16" t="n"/>
      <c r="B209" s="16" t="n"/>
      <c r="C209" s="16" t="n"/>
      <c r="D209" s="18" t="n"/>
      <c r="E209" s="19">
        <f>IF(D209="","",D209+Settings!$B$5)</f>
        <v/>
      </c>
      <c r="F209" s="20" t="n"/>
      <c r="G209" s="18" t="n"/>
      <c r="H209" s="12">
        <f>IF(F209="","",IF(G209&lt;&gt;"","Paid",IF(E209="","Sent",IF(E209&lt;TODAY(),"Overdue","Sent"))))</f>
        <v/>
      </c>
      <c r="I209" s="12">
        <f>IF(H209="Overdue",TODAY()-E209,"")</f>
        <v/>
      </c>
    </row>
    <row r="210">
      <c r="A210" s="16" t="n"/>
      <c r="B210" s="16" t="n"/>
      <c r="C210" s="16" t="n"/>
      <c r="D210" s="18" t="n"/>
      <c r="E210" s="19">
        <f>IF(D210="","",D210+Settings!$B$5)</f>
        <v/>
      </c>
      <c r="F210" s="20" t="n"/>
      <c r="G210" s="18" t="n"/>
      <c r="H210" s="12">
        <f>IF(F210="","",IF(G210&lt;&gt;"","Paid",IF(E210="","Sent",IF(E210&lt;TODAY(),"Overdue","Sent"))))</f>
        <v/>
      </c>
      <c r="I210" s="12">
        <f>IF(H210="Overdue",TODAY()-E210,"")</f>
        <v/>
      </c>
    </row>
    <row r="211">
      <c r="A211" s="16" t="n"/>
      <c r="B211" s="16" t="n"/>
      <c r="C211" s="16" t="n"/>
      <c r="D211" s="18" t="n"/>
      <c r="E211" s="19">
        <f>IF(D211="","",D211+Settings!$B$5)</f>
        <v/>
      </c>
      <c r="F211" s="20" t="n"/>
      <c r="G211" s="18" t="n"/>
      <c r="H211" s="12">
        <f>IF(F211="","",IF(G211&lt;&gt;"","Paid",IF(E211="","Sent",IF(E211&lt;TODAY(),"Overdue","Sent"))))</f>
        <v/>
      </c>
      <c r="I211" s="12">
        <f>IF(H211="Overdue",TODAY()-E211,"")</f>
        <v/>
      </c>
    </row>
    <row r="212">
      <c r="A212" s="16" t="n"/>
      <c r="B212" s="16" t="n"/>
      <c r="C212" s="16" t="n"/>
      <c r="D212" s="18" t="n"/>
      <c r="E212" s="19">
        <f>IF(D212="","",D212+Settings!$B$5)</f>
        <v/>
      </c>
      <c r="F212" s="20" t="n"/>
      <c r="G212" s="18" t="n"/>
      <c r="H212" s="12">
        <f>IF(F212="","",IF(G212&lt;&gt;"","Paid",IF(E212="","Sent",IF(E212&lt;TODAY(),"Overdue","Sent"))))</f>
        <v/>
      </c>
      <c r="I212" s="12">
        <f>IF(H212="Overdue",TODAY()-E212,"")</f>
        <v/>
      </c>
    </row>
    <row r="213">
      <c r="A213" s="16" t="n"/>
      <c r="B213" s="16" t="n"/>
      <c r="C213" s="16" t="n"/>
      <c r="D213" s="18" t="n"/>
      <c r="E213" s="19">
        <f>IF(D213="","",D213+Settings!$B$5)</f>
        <v/>
      </c>
      <c r="F213" s="20" t="n"/>
      <c r="G213" s="18" t="n"/>
      <c r="H213" s="12">
        <f>IF(F213="","",IF(G213&lt;&gt;"","Paid",IF(E213="","Sent",IF(E213&lt;TODAY(),"Overdue","Sent"))))</f>
        <v/>
      </c>
      <c r="I213" s="12">
        <f>IF(H213="Overdue",TODAY()-E213,"")</f>
        <v/>
      </c>
    </row>
    <row r="214">
      <c r="A214" s="16" t="n"/>
      <c r="B214" s="16" t="n"/>
      <c r="C214" s="16" t="n"/>
      <c r="D214" s="18" t="n"/>
      <c r="E214" s="19">
        <f>IF(D214="","",D214+Settings!$B$5)</f>
        <v/>
      </c>
      <c r="F214" s="20" t="n"/>
      <c r="G214" s="18" t="n"/>
      <c r="H214" s="12">
        <f>IF(F214="","",IF(G214&lt;&gt;"","Paid",IF(E214="","Sent",IF(E214&lt;TODAY(),"Overdue","Sent"))))</f>
        <v/>
      </c>
      <c r="I214" s="12">
        <f>IF(H214="Overdue",TODAY()-E214,"")</f>
        <v/>
      </c>
    </row>
    <row r="215">
      <c r="A215" s="16" t="n"/>
      <c r="B215" s="16" t="n"/>
      <c r="C215" s="16" t="n"/>
      <c r="D215" s="18" t="n"/>
      <c r="E215" s="19">
        <f>IF(D215="","",D215+Settings!$B$5)</f>
        <v/>
      </c>
      <c r="F215" s="20" t="n"/>
      <c r="G215" s="18" t="n"/>
      <c r="H215" s="12">
        <f>IF(F215="","",IF(G215&lt;&gt;"","Paid",IF(E215="","Sent",IF(E215&lt;TODAY(),"Overdue","Sent"))))</f>
        <v/>
      </c>
      <c r="I215" s="12">
        <f>IF(H215="Overdue",TODAY()-E215,"")</f>
        <v/>
      </c>
    </row>
    <row r="216">
      <c r="A216" s="16" t="n"/>
      <c r="B216" s="16" t="n"/>
      <c r="C216" s="16" t="n"/>
      <c r="D216" s="18" t="n"/>
      <c r="E216" s="19">
        <f>IF(D216="","",D216+Settings!$B$5)</f>
        <v/>
      </c>
      <c r="F216" s="20" t="n"/>
      <c r="G216" s="18" t="n"/>
      <c r="H216" s="12">
        <f>IF(F216="","",IF(G216&lt;&gt;"","Paid",IF(E216="","Sent",IF(E216&lt;TODAY(),"Overdue","Sent"))))</f>
        <v/>
      </c>
      <c r="I216" s="12">
        <f>IF(H216="Overdue",TODAY()-E216,"")</f>
        <v/>
      </c>
    </row>
    <row r="217">
      <c r="A217" s="16" t="n"/>
      <c r="B217" s="16" t="n"/>
      <c r="C217" s="16" t="n"/>
      <c r="D217" s="18" t="n"/>
      <c r="E217" s="19">
        <f>IF(D217="","",D217+Settings!$B$5)</f>
        <v/>
      </c>
      <c r="F217" s="20" t="n"/>
      <c r="G217" s="18" t="n"/>
      <c r="H217" s="12">
        <f>IF(F217="","",IF(G217&lt;&gt;"","Paid",IF(E217="","Sent",IF(E217&lt;TODAY(),"Overdue","Sent"))))</f>
        <v/>
      </c>
      <c r="I217" s="12">
        <f>IF(H217="Overdue",TODAY()-E217,"")</f>
        <v/>
      </c>
    </row>
    <row r="218">
      <c r="A218" s="16" t="n"/>
      <c r="B218" s="16" t="n"/>
      <c r="C218" s="16" t="n"/>
      <c r="D218" s="18" t="n"/>
      <c r="E218" s="19">
        <f>IF(D218="","",D218+Settings!$B$5)</f>
        <v/>
      </c>
      <c r="F218" s="20" t="n"/>
      <c r="G218" s="18" t="n"/>
      <c r="H218" s="12">
        <f>IF(F218="","",IF(G218&lt;&gt;"","Paid",IF(E218="","Sent",IF(E218&lt;TODAY(),"Overdue","Sent"))))</f>
        <v/>
      </c>
      <c r="I218" s="12">
        <f>IF(H218="Overdue",TODAY()-E218,"")</f>
        <v/>
      </c>
    </row>
    <row r="219">
      <c r="A219" s="16" t="n"/>
      <c r="B219" s="16" t="n"/>
      <c r="C219" s="16" t="n"/>
      <c r="D219" s="18" t="n"/>
      <c r="E219" s="19">
        <f>IF(D219="","",D219+Settings!$B$5)</f>
        <v/>
      </c>
      <c r="F219" s="20" t="n"/>
      <c r="G219" s="18" t="n"/>
      <c r="H219" s="12">
        <f>IF(F219="","",IF(G219&lt;&gt;"","Paid",IF(E219="","Sent",IF(E219&lt;TODAY(),"Overdue","Sent"))))</f>
        <v/>
      </c>
      <c r="I219" s="12">
        <f>IF(H219="Overdue",TODAY()-E219,"")</f>
        <v/>
      </c>
    </row>
    <row r="220">
      <c r="A220" s="16" t="n"/>
      <c r="B220" s="16" t="n"/>
      <c r="C220" s="16" t="n"/>
      <c r="D220" s="18" t="n"/>
      <c r="E220" s="19">
        <f>IF(D220="","",D220+Settings!$B$5)</f>
        <v/>
      </c>
      <c r="F220" s="20" t="n"/>
      <c r="G220" s="18" t="n"/>
      <c r="H220" s="12">
        <f>IF(F220="","",IF(G220&lt;&gt;"","Paid",IF(E220="","Sent",IF(E220&lt;TODAY(),"Overdue","Sent"))))</f>
        <v/>
      </c>
      <c r="I220" s="12">
        <f>IF(H220="Overdue",TODAY()-E220,"")</f>
        <v/>
      </c>
    </row>
    <row r="221">
      <c r="A221" s="16" t="n"/>
      <c r="B221" s="16" t="n"/>
      <c r="C221" s="16" t="n"/>
      <c r="D221" s="18" t="n"/>
      <c r="E221" s="19">
        <f>IF(D221="","",D221+Settings!$B$5)</f>
        <v/>
      </c>
      <c r="F221" s="20" t="n"/>
      <c r="G221" s="18" t="n"/>
      <c r="H221" s="12">
        <f>IF(F221="","",IF(G221&lt;&gt;"","Paid",IF(E221="","Sent",IF(E221&lt;TODAY(),"Overdue","Sent"))))</f>
        <v/>
      </c>
      <c r="I221" s="12">
        <f>IF(H221="Overdue",TODAY()-E221,"")</f>
        <v/>
      </c>
    </row>
    <row r="222">
      <c r="A222" s="16" t="n"/>
      <c r="B222" s="16" t="n"/>
      <c r="C222" s="16" t="n"/>
      <c r="D222" s="18" t="n"/>
      <c r="E222" s="19">
        <f>IF(D222="","",D222+Settings!$B$5)</f>
        <v/>
      </c>
      <c r="F222" s="20" t="n"/>
      <c r="G222" s="18" t="n"/>
      <c r="H222" s="12">
        <f>IF(F222="","",IF(G222&lt;&gt;"","Paid",IF(E222="","Sent",IF(E222&lt;TODAY(),"Overdue","Sent"))))</f>
        <v/>
      </c>
      <c r="I222" s="12">
        <f>IF(H222="Overdue",TODAY()-E222,"")</f>
        <v/>
      </c>
    </row>
    <row r="223">
      <c r="A223" s="16" t="n"/>
      <c r="B223" s="16" t="n"/>
      <c r="C223" s="16" t="n"/>
      <c r="D223" s="18" t="n"/>
      <c r="E223" s="19">
        <f>IF(D223="","",D223+Settings!$B$5)</f>
        <v/>
      </c>
      <c r="F223" s="20" t="n"/>
      <c r="G223" s="18" t="n"/>
      <c r="H223" s="12">
        <f>IF(F223="","",IF(G223&lt;&gt;"","Paid",IF(E223="","Sent",IF(E223&lt;TODAY(),"Overdue","Sent"))))</f>
        <v/>
      </c>
      <c r="I223" s="12">
        <f>IF(H223="Overdue",TODAY()-E223,"")</f>
        <v/>
      </c>
    </row>
    <row r="224">
      <c r="A224" s="16" t="n"/>
      <c r="B224" s="16" t="n"/>
      <c r="C224" s="16" t="n"/>
      <c r="D224" s="18" t="n"/>
      <c r="E224" s="19">
        <f>IF(D224="","",D224+Settings!$B$5)</f>
        <v/>
      </c>
      <c r="F224" s="20" t="n"/>
      <c r="G224" s="18" t="n"/>
      <c r="H224" s="12">
        <f>IF(F224="","",IF(G224&lt;&gt;"","Paid",IF(E224="","Sent",IF(E224&lt;TODAY(),"Overdue","Sent"))))</f>
        <v/>
      </c>
      <c r="I224" s="12">
        <f>IF(H224="Overdue",TODAY()-E224,"")</f>
        <v/>
      </c>
    </row>
    <row r="225">
      <c r="A225" s="16" t="n"/>
      <c r="B225" s="16" t="n"/>
      <c r="C225" s="16" t="n"/>
      <c r="D225" s="18" t="n"/>
      <c r="E225" s="19">
        <f>IF(D225="","",D225+Settings!$B$5)</f>
        <v/>
      </c>
      <c r="F225" s="20" t="n"/>
      <c r="G225" s="18" t="n"/>
      <c r="H225" s="12">
        <f>IF(F225="","",IF(G225&lt;&gt;"","Paid",IF(E225="","Sent",IF(E225&lt;TODAY(),"Overdue","Sent"))))</f>
        <v/>
      </c>
      <c r="I225" s="12">
        <f>IF(H225="Overdue",TODAY()-E225,"")</f>
        <v/>
      </c>
    </row>
    <row r="226">
      <c r="A226" s="16" t="n"/>
      <c r="B226" s="16" t="n"/>
      <c r="C226" s="16" t="n"/>
      <c r="D226" s="18" t="n"/>
      <c r="E226" s="19">
        <f>IF(D226="","",D226+Settings!$B$5)</f>
        <v/>
      </c>
      <c r="F226" s="20" t="n"/>
      <c r="G226" s="18" t="n"/>
      <c r="H226" s="12">
        <f>IF(F226="","",IF(G226&lt;&gt;"","Paid",IF(E226="","Sent",IF(E226&lt;TODAY(),"Overdue","Sent"))))</f>
        <v/>
      </c>
      <c r="I226" s="12">
        <f>IF(H226="Overdue",TODAY()-E226,"")</f>
        <v/>
      </c>
    </row>
    <row r="227">
      <c r="A227" s="16" t="n"/>
      <c r="B227" s="16" t="n"/>
      <c r="C227" s="16" t="n"/>
      <c r="D227" s="18" t="n"/>
      <c r="E227" s="19">
        <f>IF(D227="","",D227+Settings!$B$5)</f>
        <v/>
      </c>
      <c r="F227" s="20" t="n"/>
      <c r="G227" s="18" t="n"/>
      <c r="H227" s="12">
        <f>IF(F227="","",IF(G227&lt;&gt;"","Paid",IF(E227="","Sent",IF(E227&lt;TODAY(),"Overdue","Sent"))))</f>
        <v/>
      </c>
      <c r="I227" s="12">
        <f>IF(H227="Overdue",TODAY()-E227,"")</f>
        <v/>
      </c>
    </row>
    <row r="228">
      <c r="A228" s="16" t="n"/>
      <c r="B228" s="16" t="n"/>
      <c r="C228" s="16" t="n"/>
      <c r="D228" s="18" t="n"/>
      <c r="E228" s="19">
        <f>IF(D228="","",D228+Settings!$B$5)</f>
        <v/>
      </c>
      <c r="F228" s="20" t="n"/>
      <c r="G228" s="18" t="n"/>
      <c r="H228" s="12">
        <f>IF(F228="","",IF(G228&lt;&gt;"","Paid",IF(E228="","Sent",IF(E228&lt;TODAY(),"Overdue","Sent"))))</f>
        <v/>
      </c>
      <c r="I228" s="12">
        <f>IF(H228="Overdue",TODAY()-E228,"")</f>
        <v/>
      </c>
    </row>
    <row r="229">
      <c r="A229" s="16" t="n"/>
      <c r="B229" s="16" t="n"/>
      <c r="C229" s="16" t="n"/>
      <c r="D229" s="18" t="n"/>
      <c r="E229" s="19">
        <f>IF(D229="","",D229+Settings!$B$5)</f>
        <v/>
      </c>
      <c r="F229" s="20" t="n"/>
      <c r="G229" s="18" t="n"/>
      <c r="H229" s="12">
        <f>IF(F229="","",IF(G229&lt;&gt;"","Paid",IF(E229="","Sent",IF(E229&lt;TODAY(),"Overdue","Sent"))))</f>
        <v/>
      </c>
      <c r="I229" s="12">
        <f>IF(H229="Overdue",TODAY()-E229,"")</f>
        <v/>
      </c>
    </row>
    <row r="230">
      <c r="A230" s="16" t="n"/>
      <c r="B230" s="16" t="n"/>
      <c r="C230" s="16" t="n"/>
      <c r="D230" s="18" t="n"/>
      <c r="E230" s="19">
        <f>IF(D230="","",D230+Settings!$B$5)</f>
        <v/>
      </c>
      <c r="F230" s="20" t="n"/>
      <c r="G230" s="18" t="n"/>
      <c r="H230" s="12">
        <f>IF(F230="","",IF(G230&lt;&gt;"","Paid",IF(E230="","Sent",IF(E230&lt;TODAY(),"Overdue","Sent"))))</f>
        <v/>
      </c>
      <c r="I230" s="12">
        <f>IF(H230="Overdue",TODAY()-E230,"")</f>
        <v/>
      </c>
    </row>
    <row r="231">
      <c r="A231" s="16" t="n"/>
      <c r="B231" s="16" t="n"/>
      <c r="C231" s="16" t="n"/>
      <c r="D231" s="18" t="n"/>
      <c r="E231" s="19">
        <f>IF(D231="","",D231+Settings!$B$5)</f>
        <v/>
      </c>
      <c r="F231" s="20" t="n"/>
      <c r="G231" s="18" t="n"/>
      <c r="H231" s="12">
        <f>IF(F231="","",IF(G231&lt;&gt;"","Paid",IF(E231="","Sent",IF(E231&lt;TODAY(),"Overdue","Sent"))))</f>
        <v/>
      </c>
      <c r="I231" s="12">
        <f>IF(H231="Overdue",TODAY()-E231,"")</f>
        <v/>
      </c>
    </row>
    <row r="232">
      <c r="A232" s="16" t="n"/>
      <c r="B232" s="16" t="n"/>
      <c r="C232" s="16" t="n"/>
      <c r="D232" s="18" t="n"/>
      <c r="E232" s="19">
        <f>IF(D232="","",D232+Settings!$B$5)</f>
        <v/>
      </c>
      <c r="F232" s="20" t="n"/>
      <c r="G232" s="18" t="n"/>
      <c r="H232" s="12">
        <f>IF(F232="","",IF(G232&lt;&gt;"","Paid",IF(E232="","Sent",IF(E232&lt;TODAY(),"Overdue","Sent"))))</f>
        <v/>
      </c>
      <c r="I232" s="12">
        <f>IF(H232="Overdue",TODAY()-E232,"")</f>
        <v/>
      </c>
    </row>
    <row r="233">
      <c r="A233" s="16" t="n"/>
      <c r="B233" s="16" t="n"/>
      <c r="C233" s="16" t="n"/>
      <c r="D233" s="18" t="n"/>
      <c r="E233" s="19">
        <f>IF(D233="","",D233+Settings!$B$5)</f>
        <v/>
      </c>
      <c r="F233" s="20" t="n"/>
      <c r="G233" s="18" t="n"/>
      <c r="H233" s="12">
        <f>IF(F233="","",IF(G233&lt;&gt;"","Paid",IF(E233="","Sent",IF(E233&lt;TODAY(),"Overdue","Sent"))))</f>
        <v/>
      </c>
      <c r="I233" s="12">
        <f>IF(H233="Overdue",TODAY()-E233,"")</f>
        <v/>
      </c>
    </row>
    <row r="234">
      <c r="A234" s="16" t="n"/>
      <c r="B234" s="16" t="n"/>
      <c r="C234" s="16" t="n"/>
      <c r="D234" s="18" t="n"/>
      <c r="E234" s="19">
        <f>IF(D234="","",D234+Settings!$B$5)</f>
        <v/>
      </c>
      <c r="F234" s="20" t="n"/>
      <c r="G234" s="18" t="n"/>
      <c r="H234" s="12">
        <f>IF(F234="","",IF(G234&lt;&gt;"","Paid",IF(E234="","Sent",IF(E234&lt;TODAY(),"Overdue","Sent"))))</f>
        <v/>
      </c>
      <c r="I234" s="12">
        <f>IF(H234="Overdue",TODAY()-E234,"")</f>
        <v/>
      </c>
    </row>
    <row r="235">
      <c r="A235" s="16" t="n"/>
      <c r="B235" s="16" t="n"/>
      <c r="C235" s="16" t="n"/>
      <c r="D235" s="18" t="n"/>
      <c r="E235" s="19">
        <f>IF(D235="","",D235+Settings!$B$5)</f>
        <v/>
      </c>
      <c r="F235" s="20" t="n"/>
      <c r="G235" s="18" t="n"/>
      <c r="H235" s="12">
        <f>IF(F235="","",IF(G235&lt;&gt;"","Paid",IF(E235="","Sent",IF(E235&lt;TODAY(),"Overdue","Sent"))))</f>
        <v/>
      </c>
      <c r="I235" s="12">
        <f>IF(H235="Overdue",TODAY()-E235,"")</f>
        <v/>
      </c>
    </row>
    <row r="236">
      <c r="A236" s="16" t="n"/>
      <c r="B236" s="16" t="n"/>
      <c r="C236" s="16" t="n"/>
      <c r="D236" s="18" t="n"/>
      <c r="E236" s="19">
        <f>IF(D236="","",D236+Settings!$B$5)</f>
        <v/>
      </c>
      <c r="F236" s="20" t="n"/>
      <c r="G236" s="18" t="n"/>
      <c r="H236" s="12">
        <f>IF(F236="","",IF(G236&lt;&gt;"","Paid",IF(E236="","Sent",IF(E236&lt;TODAY(),"Overdue","Sent"))))</f>
        <v/>
      </c>
      <c r="I236" s="12">
        <f>IF(H236="Overdue",TODAY()-E236,"")</f>
        <v/>
      </c>
    </row>
    <row r="237">
      <c r="A237" s="16" t="n"/>
      <c r="B237" s="16" t="n"/>
      <c r="C237" s="16" t="n"/>
      <c r="D237" s="18" t="n"/>
      <c r="E237" s="19">
        <f>IF(D237="","",D237+Settings!$B$5)</f>
        <v/>
      </c>
      <c r="F237" s="20" t="n"/>
      <c r="G237" s="18" t="n"/>
      <c r="H237" s="12">
        <f>IF(F237="","",IF(G237&lt;&gt;"","Paid",IF(E237="","Sent",IF(E237&lt;TODAY(),"Overdue","Sent"))))</f>
        <v/>
      </c>
      <c r="I237" s="12">
        <f>IF(H237="Overdue",TODAY()-E237,"")</f>
        <v/>
      </c>
    </row>
    <row r="238">
      <c r="A238" s="16" t="n"/>
      <c r="B238" s="16" t="n"/>
      <c r="C238" s="16" t="n"/>
      <c r="D238" s="18" t="n"/>
      <c r="E238" s="19">
        <f>IF(D238="","",D238+Settings!$B$5)</f>
        <v/>
      </c>
      <c r="F238" s="20" t="n"/>
      <c r="G238" s="18" t="n"/>
      <c r="H238" s="12">
        <f>IF(F238="","",IF(G238&lt;&gt;"","Paid",IF(E238="","Sent",IF(E238&lt;TODAY(),"Overdue","Sent"))))</f>
        <v/>
      </c>
      <c r="I238" s="12">
        <f>IF(H238="Overdue",TODAY()-E238,"")</f>
        <v/>
      </c>
    </row>
    <row r="239">
      <c r="A239" s="16" t="n"/>
      <c r="B239" s="16" t="n"/>
      <c r="C239" s="16" t="n"/>
      <c r="D239" s="18" t="n"/>
      <c r="E239" s="19">
        <f>IF(D239="","",D239+Settings!$B$5)</f>
        <v/>
      </c>
      <c r="F239" s="20" t="n"/>
      <c r="G239" s="18" t="n"/>
      <c r="H239" s="12">
        <f>IF(F239="","",IF(G239&lt;&gt;"","Paid",IF(E239="","Sent",IF(E239&lt;TODAY(),"Overdue","Sent"))))</f>
        <v/>
      </c>
      <c r="I239" s="12">
        <f>IF(H239="Overdue",TODAY()-E239,"")</f>
        <v/>
      </c>
    </row>
    <row r="240">
      <c r="A240" s="16" t="n"/>
      <c r="B240" s="16" t="n"/>
      <c r="C240" s="16" t="n"/>
      <c r="D240" s="18" t="n"/>
      <c r="E240" s="19">
        <f>IF(D240="","",D240+Settings!$B$5)</f>
        <v/>
      </c>
      <c r="F240" s="20" t="n"/>
      <c r="G240" s="18" t="n"/>
      <c r="H240" s="12">
        <f>IF(F240="","",IF(G240&lt;&gt;"","Paid",IF(E240="","Sent",IF(E240&lt;TODAY(),"Overdue","Sent"))))</f>
        <v/>
      </c>
      <c r="I240" s="12">
        <f>IF(H240="Overdue",TODAY()-E240,"")</f>
        <v/>
      </c>
    </row>
    <row r="241">
      <c r="A241" s="16" t="n"/>
      <c r="B241" s="16" t="n"/>
      <c r="C241" s="16" t="n"/>
      <c r="D241" s="18" t="n"/>
      <c r="E241" s="19">
        <f>IF(D241="","",D241+Settings!$B$5)</f>
        <v/>
      </c>
      <c r="F241" s="20" t="n"/>
      <c r="G241" s="18" t="n"/>
      <c r="H241" s="12">
        <f>IF(F241="","",IF(G241&lt;&gt;"","Paid",IF(E241="","Sent",IF(E241&lt;TODAY(),"Overdue","Sent"))))</f>
        <v/>
      </c>
      <c r="I241" s="12">
        <f>IF(H241="Overdue",TODAY()-E241,"")</f>
        <v/>
      </c>
    </row>
    <row r="242">
      <c r="A242" s="16" t="n"/>
      <c r="B242" s="16" t="n"/>
      <c r="C242" s="16" t="n"/>
      <c r="D242" s="18" t="n"/>
      <c r="E242" s="19">
        <f>IF(D242="","",D242+Settings!$B$5)</f>
        <v/>
      </c>
      <c r="F242" s="20" t="n"/>
      <c r="G242" s="18" t="n"/>
      <c r="H242" s="12">
        <f>IF(F242="","",IF(G242&lt;&gt;"","Paid",IF(E242="","Sent",IF(E242&lt;TODAY(),"Overdue","Sent"))))</f>
        <v/>
      </c>
      <c r="I242" s="12">
        <f>IF(H242="Overdue",TODAY()-E242,"")</f>
        <v/>
      </c>
    </row>
    <row r="243">
      <c r="A243" s="16" t="n"/>
      <c r="B243" s="16" t="n"/>
      <c r="C243" s="16" t="n"/>
      <c r="D243" s="18" t="n"/>
      <c r="E243" s="19">
        <f>IF(D243="","",D243+Settings!$B$5)</f>
        <v/>
      </c>
      <c r="F243" s="20" t="n"/>
      <c r="G243" s="18" t="n"/>
      <c r="H243" s="12">
        <f>IF(F243="","",IF(G243&lt;&gt;"","Paid",IF(E243="","Sent",IF(E243&lt;TODAY(),"Overdue","Sent"))))</f>
        <v/>
      </c>
      <c r="I243" s="12">
        <f>IF(H243="Overdue",TODAY()-E243,"")</f>
        <v/>
      </c>
    </row>
    <row r="244">
      <c r="A244" s="16" t="n"/>
      <c r="B244" s="16" t="n"/>
      <c r="C244" s="16" t="n"/>
      <c r="D244" s="18" t="n"/>
      <c r="E244" s="19">
        <f>IF(D244="","",D244+Settings!$B$5)</f>
        <v/>
      </c>
      <c r="F244" s="20" t="n"/>
      <c r="G244" s="18" t="n"/>
      <c r="H244" s="12">
        <f>IF(F244="","",IF(G244&lt;&gt;"","Paid",IF(E244="","Sent",IF(E244&lt;TODAY(),"Overdue","Sent"))))</f>
        <v/>
      </c>
      <c r="I244" s="12">
        <f>IF(H244="Overdue",TODAY()-E244,"")</f>
        <v/>
      </c>
    </row>
    <row r="245">
      <c r="A245" s="16" t="n"/>
      <c r="B245" s="16" t="n"/>
      <c r="C245" s="16" t="n"/>
      <c r="D245" s="18" t="n"/>
      <c r="E245" s="19">
        <f>IF(D245="","",D245+Settings!$B$5)</f>
        <v/>
      </c>
      <c r="F245" s="20" t="n"/>
      <c r="G245" s="18" t="n"/>
      <c r="H245" s="12">
        <f>IF(F245="","",IF(G245&lt;&gt;"","Paid",IF(E245="","Sent",IF(E245&lt;TODAY(),"Overdue","Sent"))))</f>
        <v/>
      </c>
      <c r="I245" s="12">
        <f>IF(H245="Overdue",TODAY()-E245,"")</f>
        <v/>
      </c>
    </row>
    <row r="246">
      <c r="A246" s="16" t="n"/>
      <c r="B246" s="16" t="n"/>
      <c r="C246" s="16" t="n"/>
      <c r="D246" s="18" t="n"/>
      <c r="E246" s="19">
        <f>IF(D246="","",D246+Settings!$B$5)</f>
        <v/>
      </c>
      <c r="F246" s="20" t="n"/>
      <c r="G246" s="18" t="n"/>
      <c r="H246" s="12">
        <f>IF(F246="","",IF(G246&lt;&gt;"","Paid",IF(E246="","Sent",IF(E246&lt;TODAY(),"Overdue","Sent"))))</f>
        <v/>
      </c>
      <c r="I246" s="12">
        <f>IF(H246="Overdue",TODAY()-E246,"")</f>
        <v/>
      </c>
    </row>
    <row r="247">
      <c r="A247" s="16" t="n"/>
      <c r="B247" s="16" t="n"/>
      <c r="C247" s="16" t="n"/>
      <c r="D247" s="18" t="n"/>
      <c r="E247" s="19">
        <f>IF(D247="","",D247+Settings!$B$5)</f>
        <v/>
      </c>
      <c r="F247" s="20" t="n"/>
      <c r="G247" s="18" t="n"/>
      <c r="H247" s="12">
        <f>IF(F247="","",IF(G247&lt;&gt;"","Paid",IF(E247="","Sent",IF(E247&lt;TODAY(),"Overdue","Sent"))))</f>
        <v/>
      </c>
      <c r="I247" s="12">
        <f>IF(H247="Overdue",TODAY()-E247,"")</f>
        <v/>
      </c>
    </row>
    <row r="248">
      <c r="A248" s="16" t="n"/>
      <c r="B248" s="16" t="n"/>
      <c r="C248" s="16" t="n"/>
      <c r="D248" s="18" t="n"/>
      <c r="E248" s="19">
        <f>IF(D248="","",D248+Settings!$B$5)</f>
        <v/>
      </c>
      <c r="F248" s="20" t="n"/>
      <c r="G248" s="18" t="n"/>
      <c r="H248" s="12">
        <f>IF(F248="","",IF(G248&lt;&gt;"","Paid",IF(E248="","Sent",IF(E248&lt;TODAY(),"Overdue","Sent"))))</f>
        <v/>
      </c>
      <c r="I248" s="12">
        <f>IF(H248="Overdue",TODAY()-E248,"")</f>
        <v/>
      </c>
    </row>
    <row r="249">
      <c r="A249" s="16" t="n"/>
      <c r="B249" s="16" t="n"/>
      <c r="C249" s="16" t="n"/>
      <c r="D249" s="18" t="n"/>
      <c r="E249" s="19">
        <f>IF(D249="","",D249+Settings!$B$5)</f>
        <v/>
      </c>
      <c r="F249" s="20" t="n"/>
      <c r="G249" s="18" t="n"/>
      <c r="H249" s="12">
        <f>IF(F249="","",IF(G249&lt;&gt;"","Paid",IF(E249="","Sent",IF(E249&lt;TODAY(),"Overdue","Sent"))))</f>
        <v/>
      </c>
      <c r="I249" s="12">
        <f>IF(H249="Overdue",TODAY()-E249,"")</f>
        <v/>
      </c>
    </row>
    <row r="250">
      <c r="A250" s="16" t="n"/>
      <c r="B250" s="16" t="n"/>
      <c r="C250" s="16" t="n"/>
      <c r="D250" s="18" t="n"/>
      <c r="E250" s="19">
        <f>IF(D250="","",D250+Settings!$B$5)</f>
        <v/>
      </c>
      <c r="F250" s="20" t="n"/>
      <c r="G250" s="18" t="n"/>
      <c r="H250" s="12">
        <f>IF(F250="","",IF(G250&lt;&gt;"","Paid",IF(E250="","Sent",IF(E250&lt;TODAY(),"Overdue","Sent"))))</f>
        <v/>
      </c>
      <c r="I250" s="12">
        <f>IF(H250="Overdue",TODAY()-E250,"")</f>
        <v/>
      </c>
    </row>
    <row r="251">
      <c r="A251" s="16" t="n"/>
      <c r="B251" s="16" t="n"/>
      <c r="C251" s="16" t="n"/>
      <c r="D251" s="18" t="n"/>
      <c r="E251" s="19">
        <f>IF(D251="","",D251+Settings!$B$5)</f>
        <v/>
      </c>
      <c r="F251" s="20" t="n"/>
      <c r="G251" s="18" t="n"/>
      <c r="H251" s="12">
        <f>IF(F251="","",IF(G251&lt;&gt;"","Paid",IF(E251="","Sent",IF(E251&lt;TODAY(),"Overdue","Sent"))))</f>
        <v/>
      </c>
      <c r="I251" s="12">
        <f>IF(H251="Overdue",TODAY()-E251,"")</f>
        <v/>
      </c>
    </row>
    <row r="252">
      <c r="A252" s="16" t="n"/>
      <c r="B252" s="16" t="n"/>
      <c r="C252" s="16" t="n"/>
      <c r="D252" s="18" t="n"/>
      <c r="E252" s="19">
        <f>IF(D252="","",D252+Settings!$B$5)</f>
        <v/>
      </c>
      <c r="F252" s="20" t="n"/>
      <c r="G252" s="18" t="n"/>
      <c r="H252" s="12">
        <f>IF(F252="","",IF(G252&lt;&gt;"","Paid",IF(E252="","Sent",IF(E252&lt;TODAY(),"Overdue","Sent"))))</f>
        <v/>
      </c>
      <c r="I252" s="12">
        <f>IF(H252="Overdue",TODAY()-E252,"")</f>
        <v/>
      </c>
    </row>
    <row r="253">
      <c r="A253" s="16" t="n"/>
      <c r="B253" s="16" t="n"/>
      <c r="C253" s="16" t="n"/>
      <c r="D253" s="18" t="n"/>
      <c r="E253" s="19">
        <f>IF(D253="","",D253+Settings!$B$5)</f>
        <v/>
      </c>
      <c r="F253" s="20" t="n"/>
      <c r="G253" s="18" t="n"/>
      <c r="H253" s="12">
        <f>IF(F253="","",IF(G253&lt;&gt;"","Paid",IF(E253="","Sent",IF(E253&lt;TODAY(),"Overdue","Sent"))))</f>
        <v/>
      </c>
      <c r="I253" s="12">
        <f>IF(H253="Overdue",TODAY()-E253,"")</f>
        <v/>
      </c>
    </row>
    <row r="254">
      <c r="A254" s="16" t="n"/>
      <c r="B254" s="16" t="n"/>
      <c r="C254" s="16" t="n"/>
      <c r="D254" s="18" t="n"/>
      <c r="E254" s="19">
        <f>IF(D254="","",D254+Settings!$B$5)</f>
        <v/>
      </c>
      <c r="F254" s="20" t="n"/>
      <c r="G254" s="18" t="n"/>
      <c r="H254" s="12">
        <f>IF(F254="","",IF(G254&lt;&gt;"","Paid",IF(E254="","Sent",IF(E254&lt;TODAY(),"Overdue","Sent"))))</f>
        <v/>
      </c>
      <c r="I254" s="12">
        <f>IF(H254="Overdue",TODAY()-E254,"")</f>
        <v/>
      </c>
    </row>
    <row r="255">
      <c r="A255" s="16" t="n"/>
      <c r="B255" s="16" t="n"/>
      <c r="C255" s="16" t="n"/>
      <c r="D255" s="18" t="n"/>
      <c r="E255" s="19">
        <f>IF(D255="","",D255+Settings!$B$5)</f>
        <v/>
      </c>
      <c r="F255" s="20" t="n"/>
      <c r="G255" s="18" t="n"/>
      <c r="H255" s="12">
        <f>IF(F255="","",IF(G255&lt;&gt;"","Paid",IF(E255="","Sent",IF(E255&lt;TODAY(),"Overdue","Sent"))))</f>
        <v/>
      </c>
      <c r="I255" s="12">
        <f>IF(H255="Overdue",TODAY()-E255,"")</f>
        <v/>
      </c>
    </row>
    <row r="256">
      <c r="A256" s="16" t="n"/>
      <c r="B256" s="16" t="n"/>
      <c r="C256" s="16" t="n"/>
      <c r="D256" s="18" t="n"/>
      <c r="E256" s="19">
        <f>IF(D256="","",D256+Settings!$B$5)</f>
        <v/>
      </c>
      <c r="F256" s="20" t="n"/>
      <c r="G256" s="18" t="n"/>
      <c r="H256" s="12">
        <f>IF(F256="","",IF(G256&lt;&gt;"","Paid",IF(E256="","Sent",IF(E256&lt;TODAY(),"Overdue","Sent"))))</f>
        <v/>
      </c>
      <c r="I256" s="12">
        <f>IF(H256="Overdue",TODAY()-E256,"")</f>
        <v/>
      </c>
    </row>
    <row r="257">
      <c r="A257" s="16" t="n"/>
      <c r="B257" s="16" t="n"/>
      <c r="C257" s="16" t="n"/>
      <c r="D257" s="18" t="n"/>
      <c r="E257" s="19">
        <f>IF(D257="","",D257+Settings!$B$5)</f>
        <v/>
      </c>
      <c r="F257" s="20" t="n"/>
      <c r="G257" s="18" t="n"/>
      <c r="H257" s="12">
        <f>IF(F257="","",IF(G257&lt;&gt;"","Paid",IF(E257="","Sent",IF(E257&lt;TODAY(),"Overdue","Sent"))))</f>
        <v/>
      </c>
      <c r="I257" s="12">
        <f>IF(H257="Overdue",TODAY()-E257,"")</f>
        <v/>
      </c>
    </row>
    <row r="258">
      <c r="A258" s="16" t="n"/>
      <c r="B258" s="16" t="n"/>
      <c r="C258" s="16" t="n"/>
      <c r="D258" s="18" t="n"/>
      <c r="E258" s="19">
        <f>IF(D258="","",D258+Settings!$B$5)</f>
        <v/>
      </c>
      <c r="F258" s="20" t="n"/>
      <c r="G258" s="18" t="n"/>
      <c r="H258" s="12">
        <f>IF(F258="","",IF(G258&lt;&gt;"","Paid",IF(E258="","Sent",IF(E258&lt;TODAY(),"Overdue","Sent"))))</f>
        <v/>
      </c>
      <c r="I258" s="12">
        <f>IF(H258="Overdue",TODAY()-E258,"")</f>
        <v/>
      </c>
    </row>
    <row r="259">
      <c r="A259" s="16" t="n"/>
      <c r="B259" s="16" t="n"/>
      <c r="C259" s="16" t="n"/>
      <c r="D259" s="18" t="n"/>
      <c r="E259" s="19">
        <f>IF(D259="","",D259+Settings!$B$5)</f>
        <v/>
      </c>
      <c r="F259" s="20" t="n"/>
      <c r="G259" s="18" t="n"/>
      <c r="H259" s="12">
        <f>IF(F259="","",IF(G259&lt;&gt;"","Paid",IF(E259="","Sent",IF(E259&lt;TODAY(),"Overdue","Sent"))))</f>
        <v/>
      </c>
      <c r="I259" s="12">
        <f>IF(H259="Overdue",TODAY()-E259,"")</f>
        <v/>
      </c>
    </row>
    <row r="260">
      <c r="A260" s="16" t="n"/>
      <c r="B260" s="16" t="n"/>
      <c r="C260" s="16" t="n"/>
      <c r="D260" s="18" t="n"/>
      <c r="E260" s="19">
        <f>IF(D260="","",D260+Settings!$B$5)</f>
        <v/>
      </c>
      <c r="F260" s="20" t="n"/>
      <c r="G260" s="18" t="n"/>
      <c r="H260" s="12">
        <f>IF(F260="","",IF(G260&lt;&gt;"","Paid",IF(E260="","Sent",IF(E260&lt;TODAY(),"Overdue","Sent"))))</f>
        <v/>
      </c>
      <c r="I260" s="12">
        <f>IF(H260="Overdue",TODAY()-E260,"")</f>
        <v/>
      </c>
    </row>
    <row r="261">
      <c r="A261" s="16" t="n"/>
      <c r="B261" s="16" t="n"/>
      <c r="C261" s="16" t="n"/>
      <c r="D261" s="18" t="n"/>
      <c r="E261" s="19">
        <f>IF(D261="","",D261+Settings!$B$5)</f>
        <v/>
      </c>
      <c r="F261" s="20" t="n"/>
      <c r="G261" s="18" t="n"/>
      <c r="H261" s="12">
        <f>IF(F261="","",IF(G261&lt;&gt;"","Paid",IF(E261="","Sent",IF(E261&lt;TODAY(),"Overdue","Sent"))))</f>
        <v/>
      </c>
      <c r="I261" s="12">
        <f>IF(H261="Overdue",TODAY()-E261,"")</f>
        <v/>
      </c>
    </row>
    <row r="262">
      <c r="A262" s="16" t="n"/>
      <c r="B262" s="16" t="n"/>
      <c r="C262" s="16" t="n"/>
      <c r="D262" s="18" t="n"/>
      <c r="E262" s="19">
        <f>IF(D262="","",D262+Settings!$B$5)</f>
        <v/>
      </c>
      <c r="F262" s="20" t="n"/>
      <c r="G262" s="18" t="n"/>
      <c r="H262" s="12">
        <f>IF(F262="","",IF(G262&lt;&gt;"","Paid",IF(E262="","Sent",IF(E262&lt;TODAY(),"Overdue","Sent"))))</f>
        <v/>
      </c>
      <c r="I262" s="12">
        <f>IF(H262="Overdue",TODAY()-E262,"")</f>
        <v/>
      </c>
    </row>
    <row r="263">
      <c r="A263" s="16" t="n"/>
      <c r="B263" s="16" t="n"/>
      <c r="C263" s="16" t="n"/>
      <c r="D263" s="18" t="n"/>
      <c r="E263" s="19">
        <f>IF(D263="","",D263+Settings!$B$5)</f>
        <v/>
      </c>
      <c r="F263" s="20" t="n"/>
      <c r="G263" s="18" t="n"/>
      <c r="H263" s="12">
        <f>IF(F263="","",IF(G263&lt;&gt;"","Paid",IF(E263="","Sent",IF(E263&lt;TODAY(),"Overdue","Sent"))))</f>
        <v/>
      </c>
      <c r="I263" s="12">
        <f>IF(H263="Overdue",TODAY()-E263,"")</f>
        <v/>
      </c>
    </row>
    <row r="264">
      <c r="A264" s="16" t="n"/>
      <c r="B264" s="16" t="n"/>
      <c r="C264" s="16" t="n"/>
      <c r="D264" s="18" t="n"/>
      <c r="E264" s="19">
        <f>IF(D264="","",D264+Settings!$B$5)</f>
        <v/>
      </c>
      <c r="F264" s="20" t="n"/>
      <c r="G264" s="18" t="n"/>
      <c r="H264" s="12">
        <f>IF(F264="","",IF(G264&lt;&gt;"","Paid",IF(E264="","Sent",IF(E264&lt;TODAY(),"Overdue","Sent"))))</f>
        <v/>
      </c>
      <c r="I264" s="12">
        <f>IF(H264="Overdue",TODAY()-E264,"")</f>
        <v/>
      </c>
    </row>
    <row r="265">
      <c r="A265" s="16" t="n"/>
      <c r="B265" s="16" t="n"/>
      <c r="C265" s="16" t="n"/>
      <c r="D265" s="18" t="n"/>
      <c r="E265" s="19">
        <f>IF(D265="","",D265+Settings!$B$5)</f>
        <v/>
      </c>
      <c r="F265" s="20" t="n"/>
      <c r="G265" s="18" t="n"/>
      <c r="H265" s="12">
        <f>IF(F265="","",IF(G265&lt;&gt;"","Paid",IF(E265="","Sent",IF(E265&lt;TODAY(),"Overdue","Sent"))))</f>
        <v/>
      </c>
      <c r="I265" s="12">
        <f>IF(H265="Overdue",TODAY()-E265,"")</f>
        <v/>
      </c>
    </row>
    <row r="266">
      <c r="A266" s="16" t="n"/>
      <c r="B266" s="16" t="n"/>
      <c r="C266" s="16" t="n"/>
      <c r="D266" s="18" t="n"/>
      <c r="E266" s="19">
        <f>IF(D266="","",D266+Settings!$B$5)</f>
        <v/>
      </c>
      <c r="F266" s="20" t="n"/>
      <c r="G266" s="18" t="n"/>
      <c r="H266" s="12">
        <f>IF(F266="","",IF(G266&lt;&gt;"","Paid",IF(E266="","Sent",IF(E266&lt;TODAY(),"Overdue","Sent"))))</f>
        <v/>
      </c>
      <c r="I266" s="12">
        <f>IF(H266="Overdue",TODAY()-E266,"")</f>
        <v/>
      </c>
    </row>
    <row r="267">
      <c r="A267" s="16" t="n"/>
      <c r="B267" s="16" t="n"/>
      <c r="C267" s="16" t="n"/>
      <c r="D267" s="18" t="n"/>
      <c r="E267" s="19">
        <f>IF(D267="","",D267+Settings!$B$5)</f>
        <v/>
      </c>
      <c r="F267" s="20" t="n"/>
      <c r="G267" s="18" t="n"/>
      <c r="H267" s="12">
        <f>IF(F267="","",IF(G267&lt;&gt;"","Paid",IF(E267="","Sent",IF(E267&lt;TODAY(),"Overdue","Sent"))))</f>
        <v/>
      </c>
      <c r="I267" s="12">
        <f>IF(H267="Overdue",TODAY()-E267,"")</f>
        <v/>
      </c>
    </row>
    <row r="268">
      <c r="A268" s="16" t="n"/>
      <c r="B268" s="16" t="n"/>
      <c r="C268" s="16" t="n"/>
      <c r="D268" s="18" t="n"/>
      <c r="E268" s="19">
        <f>IF(D268="","",D268+Settings!$B$5)</f>
        <v/>
      </c>
      <c r="F268" s="20" t="n"/>
      <c r="G268" s="18" t="n"/>
      <c r="H268" s="12">
        <f>IF(F268="","",IF(G268&lt;&gt;"","Paid",IF(E268="","Sent",IF(E268&lt;TODAY(),"Overdue","Sent"))))</f>
        <v/>
      </c>
      <c r="I268" s="12">
        <f>IF(H268="Overdue",TODAY()-E268,"")</f>
        <v/>
      </c>
    </row>
    <row r="269">
      <c r="A269" s="16" t="n"/>
      <c r="B269" s="16" t="n"/>
      <c r="C269" s="16" t="n"/>
      <c r="D269" s="18" t="n"/>
      <c r="E269" s="19">
        <f>IF(D269="","",D269+Settings!$B$5)</f>
        <v/>
      </c>
      <c r="F269" s="20" t="n"/>
      <c r="G269" s="18" t="n"/>
      <c r="H269" s="12">
        <f>IF(F269="","",IF(G269&lt;&gt;"","Paid",IF(E269="","Sent",IF(E269&lt;TODAY(),"Overdue","Sent"))))</f>
        <v/>
      </c>
      <c r="I269" s="12">
        <f>IF(H269="Overdue",TODAY()-E269,"")</f>
        <v/>
      </c>
    </row>
    <row r="270">
      <c r="A270" s="16" t="n"/>
      <c r="B270" s="16" t="n"/>
      <c r="C270" s="16" t="n"/>
      <c r="D270" s="18" t="n"/>
      <c r="E270" s="19">
        <f>IF(D270="","",D270+Settings!$B$5)</f>
        <v/>
      </c>
      <c r="F270" s="20" t="n"/>
      <c r="G270" s="18" t="n"/>
      <c r="H270" s="12">
        <f>IF(F270="","",IF(G270&lt;&gt;"","Paid",IF(E270="","Sent",IF(E270&lt;TODAY(),"Overdue","Sent"))))</f>
        <v/>
      </c>
      <c r="I270" s="12">
        <f>IF(H270="Overdue",TODAY()-E270,"")</f>
        <v/>
      </c>
    </row>
    <row r="271">
      <c r="A271" s="16" t="n"/>
      <c r="B271" s="16" t="n"/>
      <c r="C271" s="16" t="n"/>
      <c r="D271" s="18" t="n"/>
      <c r="E271" s="19">
        <f>IF(D271="","",D271+Settings!$B$5)</f>
        <v/>
      </c>
      <c r="F271" s="20" t="n"/>
      <c r="G271" s="18" t="n"/>
      <c r="H271" s="12">
        <f>IF(F271="","",IF(G271&lt;&gt;"","Paid",IF(E271="","Sent",IF(E271&lt;TODAY(),"Overdue","Sent"))))</f>
        <v/>
      </c>
      <c r="I271" s="12">
        <f>IF(H271="Overdue",TODAY()-E271,"")</f>
        <v/>
      </c>
    </row>
    <row r="272">
      <c r="A272" s="16" t="n"/>
      <c r="B272" s="16" t="n"/>
      <c r="C272" s="16" t="n"/>
      <c r="D272" s="18" t="n"/>
      <c r="E272" s="19">
        <f>IF(D272="","",D272+Settings!$B$5)</f>
        <v/>
      </c>
      <c r="F272" s="20" t="n"/>
      <c r="G272" s="18" t="n"/>
      <c r="H272" s="12">
        <f>IF(F272="","",IF(G272&lt;&gt;"","Paid",IF(E272="","Sent",IF(E272&lt;TODAY(),"Overdue","Sent"))))</f>
        <v/>
      </c>
      <c r="I272" s="12">
        <f>IF(H272="Overdue",TODAY()-E272,"")</f>
        <v/>
      </c>
    </row>
    <row r="273">
      <c r="A273" s="16" t="n"/>
      <c r="B273" s="16" t="n"/>
      <c r="C273" s="16" t="n"/>
      <c r="D273" s="18" t="n"/>
      <c r="E273" s="19">
        <f>IF(D273="","",D273+Settings!$B$5)</f>
        <v/>
      </c>
      <c r="F273" s="20" t="n"/>
      <c r="G273" s="18" t="n"/>
      <c r="H273" s="12">
        <f>IF(F273="","",IF(G273&lt;&gt;"","Paid",IF(E273="","Sent",IF(E273&lt;TODAY(),"Overdue","Sent"))))</f>
        <v/>
      </c>
      <c r="I273" s="12">
        <f>IF(H273="Overdue",TODAY()-E273,"")</f>
        <v/>
      </c>
    </row>
    <row r="274">
      <c r="A274" s="16" t="n"/>
      <c r="B274" s="16" t="n"/>
      <c r="C274" s="16" t="n"/>
      <c r="D274" s="18" t="n"/>
      <c r="E274" s="19">
        <f>IF(D274="","",D274+Settings!$B$5)</f>
        <v/>
      </c>
      <c r="F274" s="20" t="n"/>
      <c r="G274" s="18" t="n"/>
      <c r="H274" s="12">
        <f>IF(F274="","",IF(G274&lt;&gt;"","Paid",IF(E274="","Sent",IF(E274&lt;TODAY(),"Overdue","Sent"))))</f>
        <v/>
      </c>
      <c r="I274" s="12">
        <f>IF(H274="Overdue",TODAY()-E274,"")</f>
        <v/>
      </c>
    </row>
    <row r="275">
      <c r="A275" s="16" t="n"/>
      <c r="B275" s="16" t="n"/>
      <c r="C275" s="16" t="n"/>
      <c r="D275" s="18" t="n"/>
      <c r="E275" s="19">
        <f>IF(D275="","",D275+Settings!$B$5)</f>
        <v/>
      </c>
      <c r="F275" s="20" t="n"/>
      <c r="G275" s="18" t="n"/>
      <c r="H275" s="12">
        <f>IF(F275="","",IF(G275&lt;&gt;"","Paid",IF(E275="","Sent",IF(E275&lt;TODAY(),"Overdue","Sent"))))</f>
        <v/>
      </c>
      <c r="I275" s="12">
        <f>IF(H275="Overdue",TODAY()-E275,"")</f>
        <v/>
      </c>
    </row>
    <row r="276">
      <c r="A276" s="16" t="n"/>
      <c r="B276" s="16" t="n"/>
      <c r="C276" s="16" t="n"/>
      <c r="D276" s="18" t="n"/>
      <c r="E276" s="19">
        <f>IF(D276="","",D276+Settings!$B$5)</f>
        <v/>
      </c>
      <c r="F276" s="20" t="n"/>
      <c r="G276" s="18" t="n"/>
      <c r="H276" s="12">
        <f>IF(F276="","",IF(G276&lt;&gt;"","Paid",IF(E276="","Sent",IF(E276&lt;TODAY(),"Overdue","Sent"))))</f>
        <v/>
      </c>
      <c r="I276" s="12">
        <f>IF(H276="Overdue",TODAY()-E276,"")</f>
        <v/>
      </c>
    </row>
    <row r="277">
      <c r="A277" s="16" t="n"/>
      <c r="B277" s="16" t="n"/>
      <c r="C277" s="16" t="n"/>
      <c r="D277" s="18" t="n"/>
      <c r="E277" s="19">
        <f>IF(D277="","",D277+Settings!$B$5)</f>
        <v/>
      </c>
      <c r="F277" s="20" t="n"/>
      <c r="G277" s="18" t="n"/>
      <c r="H277" s="12">
        <f>IF(F277="","",IF(G277&lt;&gt;"","Paid",IF(E277="","Sent",IF(E277&lt;TODAY(),"Overdue","Sent"))))</f>
        <v/>
      </c>
      <c r="I277" s="12">
        <f>IF(H277="Overdue",TODAY()-E277,"")</f>
        <v/>
      </c>
    </row>
    <row r="278">
      <c r="A278" s="16" t="n"/>
      <c r="B278" s="16" t="n"/>
      <c r="C278" s="16" t="n"/>
      <c r="D278" s="18" t="n"/>
      <c r="E278" s="19">
        <f>IF(D278="","",D278+Settings!$B$5)</f>
        <v/>
      </c>
      <c r="F278" s="20" t="n"/>
      <c r="G278" s="18" t="n"/>
      <c r="H278" s="12">
        <f>IF(F278="","",IF(G278&lt;&gt;"","Paid",IF(E278="","Sent",IF(E278&lt;TODAY(),"Overdue","Sent"))))</f>
        <v/>
      </c>
      <c r="I278" s="12">
        <f>IF(H278="Overdue",TODAY()-E278,"")</f>
        <v/>
      </c>
    </row>
    <row r="279">
      <c r="A279" s="16" t="n"/>
      <c r="B279" s="16" t="n"/>
      <c r="C279" s="16" t="n"/>
      <c r="D279" s="18" t="n"/>
      <c r="E279" s="19">
        <f>IF(D279="","",D279+Settings!$B$5)</f>
        <v/>
      </c>
      <c r="F279" s="20" t="n"/>
      <c r="G279" s="18" t="n"/>
      <c r="H279" s="12">
        <f>IF(F279="","",IF(G279&lt;&gt;"","Paid",IF(E279="","Sent",IF(E279&lt;TODAY(),"Overdue","Sent"))))</f>
        <v/>
      </c>
      <c r="I279" s="12">
        <f>IF(H279="Overdue",TODAY()-E279,"")</f>
        <v/>
      </c>
    </row>
    <row r="280">
      <c r="A280" s="16" t="n"/>
      <c r="B280" s="16" t="n"/>
      <c r="C280" s="16" t="n"/>
      <c r="D280" s="18" t="n"/>
      <c r="E280" s="19">
        <f>IF(D280="","",D280+Settings!$B$5)</f>
        <v/>
      </c>
      <c r="F280" s="20" t="n"/>
      <c r="G280" s="18" t="n"/>
      <c r="H280" s="12">
        <f>IF(F280="","",IF(G280&lt;&gt;"","Paid",IF(E280="","Sent",IF(E280&lt;TODAY(),"Overdue","Sent"))))</f>
        <v/>
      </c>
      <c r="I280" s="12">
        <f>IF(H280="Overdue",TODAY()-E280,"")</f>
        <v/>
      </c>
    </row>
    <row r="281">
      <c r="A281" s="16" t="n"/>
      <c r="B281" s="16" t="n"/>
      <c r="C281" s="16" t="n"/>
      <c r="D281" s="18" t="n"/>
      <c r="E281" s="19">
        <f>IF(D281="","",D281+Settings!$B$5)</f>
        <v/>
      </c>
      <c r="F281" s="20" t="n"/>
      <c r="G281" s="18" t="n"/>
      <c r="H281" s="12">
        <f>IF(F281="","",IF(G281&lt;&gt;"","Paid",IF(E281="","Sent",IF(E281&lt;TODAY(),"Overdue","Sent"))))</f>
        <v/>
      </c>
      <c r="I281" s="12">
        <f>IF(H281="Overdue",TODAY()-E281,"")</f>
        <v/>
      </c>
    </row>
    <row r="282">
      <c r="A282" s="16" t="n"/>
      <c r="B282" s="16" t="n"/>
      <c r="C282" s="16" t="n"/>
      <c r="D282" s="18" t="n"/>
      <c r="E282" s="19">
        <f>IF(D282="","",D282+Settings!$B$5)</f>
        <v/>
      </c>
      <c r="F282" s="20" t="n"/>
      <c r="G282" s="18" t="n"/>
      <c r="H282" s="12">
        <f>IF(F282="","",IF(G282&lt;&gt;"","Paid",IF(E282="","Sent",IF(E282&lt;TODAY(),"Overdue","Sent"))))</f>
        <v/>
      </c>
      <c r="I282" s="12">
        <f>IF(H282="Overdue",TODAY()-E282,"")</f>
        <v/>
      </c>
    </row>
    <row r="283">
      <c r="A283" s="16" t="n"/>
      <c r="B283" s="16" t="n"/>
      <c r="C283" s="16" t="n"/>
      <c r="D283" s="18" t="n"/>
      <c r="E283" s="19">
        <f>IF(D283="","",D283+Settings!$B$5)</f>
        <v/>
      </c>
      <c r="F283" s="20" t="n"/>
      <c r="G283" s="18" t="n"/>
      <c r="H283" s="12">
        <f>IF(F283="","",IF(G283&lt;&gt;"","Paid",IF(E283="","Sent",IF(E283&lt;TODAY(),"Overdue","Sent"))))</f>
        <v/>
      </c>
      <c r="I283" s="12">
        <f>IF(H283="Overdue",TODAY()-E283,"")</f>
        <v/>
      </c>
    </row>
    <row r="284">
      <c r="A284" s="16" t="n"/>
      <c r="B284" s="16" t="n"/>
      <c r="C284" s="16" t="n"/>
      <c r="D284" s="18" t="n"/>
      <c r="E284" s="19">
        <f>IF(D284="","",D284+Settings!$B$5)</f>
        <v/>
      </c>
      <c r="F284" s="20" t="n"/>
      <c r="G284" s="18" t="n"/>
      <c r="H284" s="12">
        <f>IF(F284="","",IF(G284&lt;&gt;"","Paid",IF(E284="","Sent",IF(E284&lt;TODAY(),"Overdue","Sent"))))</f>
        <v/>
      </c>
      <c r="I284" s="12">
        <f>IF(H284="Overdue",TODAY()-E284,"")</f>
        <v/>
      </c>
    </row>
    <row r="285">
      <c r="A285" s="16" t="n"/>
      <c r="B285" s="16" t="n"/>
      <c r="C285" s="16" t="n"/>
      <c r="D285" s="18" t="n"/>
      <c r="E285" s="19">
        <f>IF(D285="","",D285+Settings!$B$5)</f>
        <v/>
      </c>
      <c r="F285" s="20" t="n"/>
      <c r="G285" s="18" t="n"/>
      <c r="H285" s="12">
        <f>IF(F285="","",IF(G285&lt;&gt;"","Paid",IF(E285="","Sent",IF(E285&lt;TODAY(),"Overdue","Sent"))))</f>
        <v/>
      </c>
      <c r="I285" s="12">
        <f>IF(H285="Overdue",TODAY()-E285,"")</f>
        <v/>
      </c>
    </row>
    <row r="286">
      <c r="A286" s="16" t="n"/>
      <c r="B286" s="16" t="n"/>
      <c r="C286" s="16" t="n"/>
      <c r="D286" s="18" t="n"/>
      <c r="E286" s="19">
        <f>IF(D286="","",D286+Settings!$B$5)</f>
        <v/>
      </c>
      <c r="F286" s="20" t="n"/>
      <c r="G286" s="18" t="n"/>
      <c r="H286" s="12">
        <f>IF(F286="","",IF(G286&lt;&gt;"","Paid",IF(E286="","Sent",IF(E286&lt;TODAY(),"Overdue","Sent"))))</f>
        <v/>
      </c>
      <c r="I286" s="12">
        <f>IF(H286="Overdue",TODAY()-E286,"")</f>
        <v/>
      </c>
    </row>
    <row r="287">
      <c r="A287" s="16" t="n"/>
      <c r="B287" s="16" t="n"/>
      <c r="C287" s="16" t="n"/>
      <c r="D287" s="18" t="n"/>
      <c r="E287" s="19">
        <f>IF(D287="","",D287+Settings!$B$5)</f>
        <v/>
      </c>
      <c r="F287" s="20" t="n"/>
      <c r="G287" s="18" t="n"/>
      <c r="H287" s="12">
        <f>IF(F287="","",IF(G287&lt;&gt;"","Paid",IF(E287="","Sent",IF(E287&lt;TODAY(),"Overdue","Sent"))))</f>
        <v/>
      </c>
      <c r="I287" s="12">
        <f>IF(H287="Overdue",TODAY()-E287,"")</f>
        <v/>
      </c>
    </row>
    <row r="288">
      <c r="A288" s="16" t="n"/>
      <c r="B288" s="16" t="n"/>
      <c r="C288" s="16" t="n"/>
      <c r="D288" s="18" t="n"/>
      <c r="E288" s="19">
        <f>IF(D288="","",D288+Settings!$B$5)</f>
        <v/>
      </c>
      <c r="F288" s="20" t="n"/>
      <c r="G288" s="18" t="n"/>
      <c r="H288" s="12">
        <f>IF(F288="","",IF(G288&lt;&gt;"","Paid",IF(E288="","Sent",IF(E288&lt;TODAY(),"Overdue","Sent"))))</f>
        <v/>
      </c>
      <c r="I288" s="12">
        <f>IF(H288="Overdue",TODAY()-E288,"")</f>
        <v/>
      </c>
    </row>
    <row r="289">
      <c r="A289" s="16" t="n"/>
      <c r="B289" s="16" t="n"/>
      <c r="C289" s="16" t="n"/>
      <c r="D289" s="18" t="n"/>
      <c r="E289" s="19">
        <f>IF(D289="","",D289+Settings!$B$5)</f>
        <v/>
      </c>
      <c r="F289" s="20" t="n"/>
      <c r="G289" s="18" t="n"/>
      <c r="H289" s="12">
        <f>IF(F289="","",IF(G289&lt;&gt;"","Paid",IF(E289="","Sent",IF(E289&lt;TODAY(),"Overdue","Sent"))))</f>
        <v/>
      </c>
      <c r="I289" s="12">
        <f>IF(H289="Overdue",TODAY()-E289,"")</f>
        <v/>
      </c>
    </row>
    <row r="290">
      <c r="A290" s="16" t="n"/>
      <c r="B290" s="16" t="n"/>
      <c r="C290" s="16" t="n"/>
      <c r="D290" s="18" t="n"/>
      <c r="E290" s="19">
        <f>IF(D290="","",D290+Settings!$B$5)</f>
        <v/>
      </c>
      <c r="F290" s="20" t="n"/>
      <c r="G290" s="18" t="n"/>
      <c r="H290" s="12">
        <f>IF(F290="","",IF(G290&lt;&gt;"","Paid",IF(E290="","Sent",IF(E290&lt;TODAY(),"Overdue","Sent"))))</f>
        <v/>
      </c>
      <c r="I290" s="12">
        <f>IF(H290="Overdue",TODAY()-E290,"")</f>
        <v/>
      </c>
    </row>
    <row r="291">
      <c r="A291" s="16" t="n"/>
      <c r="B291" s="16" t="n"/>
      <c r="C291" s="16" t="n"/>
      <c r="D291" s="18" t="n"/>
      <c r="E291" s="19">
        <f>IF(D291="","",D291+Settings!$B$5)</f>
        <v/>
      </c>
      <c r="F291" s="20" t="n"/>
      <c r="G291" s="18" t="n"/>
      <c r="H291" s="12">
        <f>IF(F291="","",IF(G291&lt;&gt;"","Paid",IF(E291="","Sent",IF(E291&lt;TODAY(),"Overdue","Sent"))))</f>
        <v/>
      </c>
      <c r="I291" s="12">
        <f>IF(H291="Overdue",TODAY()-E291,"")</f>
        <v/>
      </c>
    </row>
    <row r="292">
      <c r="A292" s="16" t="n"/>
      <c r="B292" s="16" t="n"/>
      <c r="C292" s="16" t="n"/>
      <c r="D292" s="18" t="n"/>
      <c r="E292" s="19">
        <f>IF(D292="","",D292+Settings!$B$5)</f>
        <v/>
      </c>
      <c r="F292" s="20" t="n"/>
      <c r="G292" s="18" t="n"/>
      <c r="H292" s="12">
        <f>IF(F292="","",IF(G292&lt;&gt;"","Paid",IF(E292="","Sent",IF(E292&lt;TODAY(),"Overdue","Sent"))))</f>
        <v/>
      </c>
      <c r="I292" s="12">
        <f>IF(H292="Overdue",TODAY()-E292,"")</f>
        <v/>
      </c>
    </row>
    <row r="293">
      <c r="A293" s="16" t="n"/>
      <c r="B293" s="16" t="n"/>
      <c r="C293" s="16" t="n"/>
      <c r="D293" s="18" t="n"/>
      <c r="E293" s="19">
        <f>IF(D293="","",D293+Settings!$B$5)</f>
        <v/>
      </c>
      <c r="F293" s="20" t="n"/>
      <c r="G293" s="18" t="n"/>
      <c r="H293" s="12">
        <f>IF(F293="","",IF(G293&lt;&gt;"","Paid",IF(E293="","Sent",IF(E293&lt;TODAY(),"Overdue","Sent"))))</f>
        <v/>
      </c>
      <c r="I293" s="12">
        <f>IF(H293="Overdue",TODAY()-E293,"")</f>
        <v/>
      </c>
    </row>
    <row r="294">
      <c r="A294" s="16" t="n"/>
      <c r="B294" s="16" t="n"/>
      <c r="C294" s="16" t="n"/>
      <c r="D294" s="18" t="n"/>
      <c r="E294" s="19">
        <f>IF(D294="","",D294+Settings!$B$5)</f>
        <v/>
      </c>
      <c r="F294" s="20" t="n"/>
      <c r="G294" s="18" t="n"/>
      <c r="H294" s="12">
        <f>IF(F294="","",IF(G294&lt;&gt;"","Paid",IF(E294="","Sent",IF(E294&lt;TODAY(),"Overdue","Sent"))))</f>
        <v/>
      </c>
      <c r="I294" s="12">
        <f>IF(H294="Overdue",TODAY()-E294,"")</f>
        <v/>
      </c>
    </row>
    <row r="295">
      <c r="A295" s="16" t="n"/>
      <c r="B295" s="16" t="n"/>
      <c r="C295" s="16" t="n"/>
      <c r="D295" s="18" t="n"/>
      <c r="E295" s="19">
        <f>IF(D295="","",D295+Settings!$B$5)</f>
        <v/>
      </c>
      <c r="F295" s="20" t="n"/>
      <c r="G295" s="18" t="n"/>
      <c r="H295" s="12">
        <f>IF(F295="","",IF(G295&lt;&gt;"","Paid",IF(E295="","Sent",IF(E295&lt;TODAY(),"Overdue","Sent"))))</f>
        <v/>
      </c>
      <c r="I295" s="12">
        <f>IF(H295="Overdue",TODAY()-E295,"")</f>
        <v/>
      </c>
    </row>
    <row r="296">
      <c r="A296" s="16" t="n"/>
      <c r="B296" s="16" t="n"/>
      <c r="C296" s="16" t="n"/>
      <c r="D296" s="18" t="n"/>
      <c r="E296" s="19">
        <f>IF(D296="","",D296+Settings!$B$5)</f>
        <v/>
      </c>
      <c r="F296" s="20" t="n"/>
      <c r="G296" s="18" t="n"/>
      <c r="H296" s="12">
        <f>IF(F296="","",IF(G296&lt;&gt;"","Paid",IF(E296="","Sent",IF(E296&lt;TODAY(),"Overdue","Sent"))))</f>
        <v/>
      </c>
      <c r="I296" s="12">
        <f>IF(H296="Overdue",TODAY()-E296,"")</f>
        <v/>
      </c>
    </row>
    <row r="297">
      <c r="A297" s="16" t="n"/>
      <c r="B297" s="16" t="n"/>
      <c r="C297" s="16" t="n"/>
      <c r="D297" s="18" t="n"/>
      <c r="E297" s="19">
        <f>IF(D297="","",D297+Settings!$B$5)</f>
        <v/>
      </c>
      <c r="F297" s="20" t="n"/>
      <c r="G297" s="18" t="n"/>
      <c r="H297" s="12">
        <f>IF(F297="","",IF(G297&lt;&gt;"","Paid",IF(E297="","Sent",IF(E297&lt;TODAY(),"Overdue","Sent"))))</f>
        <v/>
      </c>
      <c r="I297" s="12">
        <f>IF(H297="Overdue",TODAY()-E297,"")</f>
        <v/>
      </c>
    </row>
    <row r="298">
      <c r="A298" s="16" t="n"/>
      <c r="B298" s="16" t="n"/>
      <c r="C298" s="16" t="n"/>
      <c r="D298" s="18" t="n"/>
      <c r="E298" s="19">
        <f>IF(D298="","",D298+Settings!$B$5)</f>
        <v/>
      </c>
      <c r="F298" s="20" t="n"/>
      <c r="G298" s="18" t="n"/>
      <c r="H298" s="12">
        <f>IF(F298="","",IF(G298&lt;&gt;"","Paid",IF(E298="","Sent",IF(E298&lt;TODAY(),"Overdue","Sent"))))</f>
        <v/>
      </c>
      <c r="I298" s="12">
        <f>IF(H298="Overdue",TODAY()-E298,"")</f>
        <v/>
      </c>
    </row>
    <row r="299">
      <c r="A299" s="16" t="n"/>
      <c r="B299" s="16" t="n"/>
      <c r="C299" s="16" t="n"/>
      <c r="D299" s="18" t="n"/>
      <c r="E299" s="19">
        <f>IF(D299="","",D299+Settings!$B$5)</f>
        <v/>
      </c>
      <c r="F299" s="20" t="n"/>
      <c r="G299" s="18" t="n"/>
      <c r="H299" s="12">
        <f>IF(F299="","",IF(G299&lt;&gt;"","Paid",IF(E299="","Sent",IF(E299&lt;TODAY(),"Overdue","Sent"))))</f>
        <v/>
      </c>
      <c r="I299" s="12">
        <f>IF(H299="Overdue",TODAY()-E299,"")</f>
        <v/>
      </c>
    </row>
    <row r="300">
      <c r="A300" s="16" t="n"/>
      <c r="B300" s="16" t="n"/>
      <c r="C300" s="16" t="n"/>
      <c r="D300" s="18" t="n"/>
      <c r="E300" s="19">
        <f>IF(D300="","",D300+Settings!$B$5)</f>
        <v/>
      </c>
      <c r="F300" s="20" t="n"/>
      <c r="G300" s="18" t="n"/>
      <c r="H300" s="12">
        <f>IF(F300="","",IF(G300&lt;&gt;"","Paid",IF(E300="","Sent",IF(E300&lt;TODAY(),"Overdue","Sent"))))</f>
        <v/>
      </c>
      <c r="I300" s="12">
        <f>IF(H300="Overdue",TODAY()-E300,"")</f>
        <v/>
      </c>
    </row>
    <row r="301">
      <c r="A301" s="16" t="n"/>
      <c r="B301" s="16" t="n"/>
      <c r="C301" s="16" t="n"/>
      <c r="D301" s="18" t="n"/>
      <c r="E301" s="19">
        <f>IF(D301="","",D301+Settings!$B$5)</f>
        <v/>
      </c>
      <c r="F301" s="20" t="n"/>
      <c r="G301" s="18" t="n"/>
      <c r="H301" s="12">
        <f>IF(F301="","",IF(G301&lt;&gt;"","Paid",IF(E301="","Sent",IF(E301&lt;TODAY(),"Overdue","Sent"))))</f>
        <v/>
      </c>
      <c r="I301" s="12">
        <f>IF(H301="Overdue",TODAY()-E301,"")</f>
        <v/>
      </c>
    </row>
    <row r="302">
      <c r="A302" s="16" t="n"/>
      <c r="B302" s="16" t="n"/>
      <c r="C302" s="16" t="n"/>
      <c r="D302" s="18" t="n"/>
      <c r="E302" s="19">
        <f>IF(D302="","",D302+Settings!$B$5)</f>
        <v/>
      </c>
      <c r="F302" s="20" t="n"/>
      <c r="G302" s="18" t="n"/>
      <c r="H302" s="12">
        <f>IF(F302="","",IF(G302&lt;&gt;"","Paid",IF(E302="","Sent",IF(E302&lt;TODAY(),"Overdue","Sent"))))</f>
        <v/>
      </c>
      <c r="I302" s="12">
        <f>IF(H302="Overdue",TODAY()-E302,"")</f>
        <v/>
      </c>
    </row>
    <row r="303">
      <c r="A303" s="16" t="n"/>
      <c r="B303" s="16" t="n"/>
      <c r="C303" s="16" t="n"/>
      <c r="D303" s="18" t="n"/>
      <c r="E303" s="19">
        <f>IF(D303="","",D303+Settings!$B$5)</f>
        <v/>
      </c>
      <c r="F303" s="20" t="n"/>
      <c r="G303" s="18" t="n"/>
      <c r="H303" s="12">
        <f>IF(F303="","",IF(G303&lt;&gt;"","Paid",IF(E303="","Sent",IF(E303&lt;TODAY(),"Overdue","Sent"))))</f>
        <v/>
      </c>
      <c r="I303" s="12">
        <f>IF(H303="Overdue",TODAY()-E303,"")</f>
        <v/>
      </c>
    </row>
    <row r="304">
      <c r="A304" s="16" t="n"/>
      <c r="B304" s="16" t="n"/>
      <c r="C304" s="16" t="n"/>
      <c r="D304" s="18" t="n"/>
      <c r="E304" s="19">
        <f>IF(D304="","",D304+Settings!$B$5)</f>
        <v/>
      </c>
      <c r="F304" s="20" t="n"/>
      <c r="G304" s="18" t="n"/>
      <c r="H304" s="12">
        <f>IF(F304="","",IF(G304&lt;&gt;"","Paid",IF(E304="","Sent",IF(E304&lt;TODAY(),"Overdue","Sent"))))</f>
        <v/>
      </c>
      <c r="I304" s="12">
        <f>IF(H304="Overdue",TODAY()-E304,"")</f>
        <v/>
      </c>
    </row>
    <row r="305">
      <c r="A305" s="16" t="n"/>
      <c r="B305" s="16" t="n"/>
      <c r="C305" s="16" t="n"/>
      <c r="D305" s="18" t="n"/>
      <c r="E305" s="19">
        <f>IF(D305="","",D305+Settings!$B$5)</f>
        <v/>
      </c>
      <c r="F305" s="20" t="n"/>
      <c r="G305" s="18" t="n"/>
      <c r="H305" s="12">
        <f>IF(F305="","",IF(G305&lt;&gt;"","Paid",IF(E305="","Sent",IF(E305&lt;TODAY(),"Overdue","Sent"))))</f>
        <v/>
      </c>
      <c r="I305" s="12">
        <f>IF(H305="Overdue",TODAY()-E305,"")</f>
        <v/>
      </c>
    </row>
    <row r="306">
      <c r="A306" s="16" t="n"/>
      <c r="B306" s="16" t="n"/>
      <c r="C306" s="16" t="n"/>
      <c r="D306" s="18" t="n"/>
      <c r="E306" s="19">
        <f>IF(D306="","",D306+Settings!$B$5)</f>
        <v/>
      </c>
      <c r="F306" s="20" t="n"/>
      <c r="G306" s="18" t="n"/>
      <c r="H306" s="12">
        <f>IF(F306="","",IF(G306&lt;&gt;"","Paid",IF(E306="","Sent",IF(E306&lt;TODAY(),"Overdue","Sent"))))</f>
        <v/>
      </c>
      <c r="I306" s="12">
        <f>IF(H306="Overdue",TODAY()-E306,"")</f>
        <v/>
      </c>
    </row>
    <row r="307">
      <c r="A307" s="16" t="n"/>
      <c r="B307" s="16" t="n"/>
      <c r="C307" s="16" t="n"/>
      <c r="D307" s="18" t="n"/>
      <c r="E307" s="19">
        <f>IF(D307="","",D307+Settings!$B$5)</f>
        <v/>
      </c>
      <c r="F307" s="20" t="n"/>
      <c r="G307" s="18" t="n"/>
      <c r="H307" s="12">
        <f>IF(F307="","",IF(G307&lt;&gt;"","Paid",IF(E307="","Sent",IF(E307&lt;TODAY(),"Overdue","Sent"))))</f>
        <v/>
      </c>
      <c r="I307" s="12">
        <f>IF(H307="Overdue",TODAY()-E307,"")</f>
        <v/>
      </c>
    </row>
    <row r="308">
      <c r="A308" s="16" t="n"/>
      <c r="B308" s="16" t="n"/>
      <c r="C308" s="16" t="n"/>
      <c r="D308" s="18" t="n"/>
      <c r="E308" s="19">
        <f>IF(D308="","",D308+Settings!$B$5)</f>
        <v/>
      </c>
      <c r="F308" s="20" t="n"/>
      <c r="G308" s="18" t="n"/>
      <c r="H308" s="12">
        <f>IF(F308="","",IF(G308&lt;&gt;"","Paid",IF(E308="","Sent",IF(E308&lt;TODAY(),"Overdue","Sent"))))</f>
        <v/>
      </c>
      <c r="I308" s="12">
        <f>IF(H308="Overdue",TODAY()-E308,"")</f>
        <v/>
      </c>
    </row>
    <row r="309">
      <c r="A309" s="16" t="n"/>
      <c r="B309" s="16" t="n"/>
      <c r="C309" s="16" t="n"/>
      <c r="D309" s="18" t="n"/>
      <c r="E309" s="19">
        <f>IF(D309="","",D309+Settings!$B$5)</f>
        <v/>
      </c>
      <c r="F309" s="20" t="n"/>
      <c r="G309" s="18" t="n"/>
      <c r="H309" s="12">
        <f>IF(F309="","",IF(G309&lt;&gt;"","Paid",IF(E309="","Sent",IF(E309&lt;TODAY(),"Overdue","Sent"))))</f>
        <v/>
      </c>
      <c r="I309" s="12">
        <f>IF(H309="Overdue",TODAY()-E309,"")</f>
        <v/>
      </c>
    </row>
    <row r="310">
      <c r="A310" s="16" t="n"/>
      <c r="B310" s="16" t="n"/>
      <c r="C310" s="16" t="n"/>
      <c r="D310" s="18" t="n"/>
      <c r="E310" s="19">
        <f>IF(D310="","",D310+Settings!$B$5)</f>
        <v/>
      </c>
      <c r="F310" s="20" t="n"/>
      <c r="G310" s="18" t="n"/>
      <c r="H310" s="12">
        <f>IF(F310="","",IF(G310&lt;&gt;"","Paid",IF(E310="","Sent",IF(E310&lt;TODAY(),"Overdue","Sent"))))</f>
        <v/>
      </c>
      <c r="I310" s="12">
        <f>IF(H310="Overdue",TODAY()-E310,"")</f>
        <v/>
      </c>
    </row>
    <row r="311">
      <c r="A311" s="16" t="n"/>
      <c r="B311" s="16" t="n"/>
      <c r="C311" s="16" t="n"/>
      <c r="D311" s="18" t="n"/>
      <c r="E311" s="19">
        <f>IF(D311="","",D311+Settings!$B$5)</f>
        <v/>
      </c>
      <c r="F311" s="20" t="n"/>
      <c r="G311" s="18" t="n"/>
      <c r="H311" s="12">
        <f>IF(F311="","",IF(G311&lt;&gt;"","Paid",IF(E311="","Sent",IF(E311&lt;TODAY(),"Overdue","Sent"))))</f>
        <v/>
      </c>
      <c r="I311" s="12">
        <f>IF(H311="Overdue",TODAY()-E311,"")</f>
        <v/>
      </c>
    </row>
    <row r="312">
      <c r="A312" s="16" t="n"/>
      <c r="B312" s="16" t="n"/>
      <c r="C312" s="16" t="n"/>
      <c r="D312" s="18" t="n"/>
      <c r="E312" s="19">
        <f>IF(D312="","",D312+Settings!$B$5)</f>
        <v/>
      </c>
      <c r="F312" s="20" t="n"/>
      <c r="G312" s="18" t="n"/>
      <c r="H312" s="12">
        <f>IF(F312="","",IF(G312&lt;&gt;"","Paid",IF(E312="","Sent",IF(E312&lt;TODAY(),"Overdue","Sent"))))</f>
        <v/>
      </c>
      <c r="I312" s="12">
        <f>IF(H312="Overdue",TODAY()-E312,"")</f>
        <v/>
      </c>
    </row>
    <row r="313">
      <c r="A313" s="16" t="n"/>
      <c r="B313" s="16" t="n"/>
      <c r="C313" s="16" t="n"/>
      <c r="D313" s="18" t="n"/>
      <c r="E313" s="19">
        <f>IF(D313="","",D313+Settings!$B$5)</f>
        <v/>
      </c>
      <c r="F313" s="20" t="n"/>
      <c r="G313" s="18" t="n"/>
      <c r="H313" s="12">
        <f>IF(F313="","",IF(G313&lt;&gt;"","Paid",IF(E313="","Sent",IF(E313&lt;TODAY(),"Overdue","Sent"))))</f>
        <v/>
      </c>
      <c r="I313" s="12">
        <f>IF(H313="Overdue",TODAY()-E313,"")</f>
        <v/>
      </c>
    </row>
    <row r="314">
      <c r="A314" s="16" t="n"/>
      <c r="B314" s="16" t="n"/>
      <c r="C314" s="16" t="n"/>
      <c r="D314" s="18" t="n"/>
      <c r="E314" s="19">
        <f>IF(D314="","",D314+Settings!$B$5)</f>
        <v/>
      </c>
      <c r="F314" s="20" t="n"/>
      <c r="G314" s="18" t="n"/>
      <c r="H314" s="12">
        <f>IF(F314="","",IF(G314&lt;&gt;"","Paid",IF(E314="","Sent",IF(E314&lt;TODAY(),"Overdue","Sent"))))</f>
        <v/>
      </c>
      <c r="I314" s="12">
        <f>IF(H314="Overdue",TODAY()-E314,"")</f>
        <v/>
      </c>
    </row>
    <row r="315">
      <c r="A315" s="16" t="n"/>
      <c r="B315" s="16" t="n"/>
      <c r="C315" s="16" t="n"/>
      <c r="D315" s="18" t="n"/>
      <c r="E315" s="19">
        <f>IF(D315="","",D315+Settings!$B$5)</f>
        <v/>
      </c>
      <c r="F315" s="20" t="n"/>
      <c r="G315" s="18" t="n"/>
      <c r="H315" s="12">
        <f>IF(F315="","",IF(G315&lt;&gt;"","Paid",IF(E315="","Sent",IF(E315&lt;TODAY(),"Overdue","Sent"))))</f>
        <v/>
      </c>
      <c r="I315" s="12">
        <f>IF(H315="Overdue",TODAY()-E315,"")</f>
        <v/>
      </c>
    </row>
    <row r="316">
      <c r="A316" s="16" t="n"/>
      <c r="B316" s="16" t="n"/>
      <c r="C316" s="16" t="n"/>
      <c r="D316" s="18" t="n"/>
      <c r="E316" s="19">
        <f>IF(D316="","",D316+Settings!$B$5)</f>
        <v/>
      </c>
      <c r="F316" s="20" t="n"/>
      <c r="G316" s="18" t="n"/>
      <c r="H316" s="12">
        <f>IF(F316="","",IF(G316&lt;&gt;"","Paid",IF(E316="","Sent",IF(E316&lt;TODAY(),"Overdue","Sent"))))</f>
        <v/>
      </c>
      <c r="I316" s="12">
        <f>IF(H316="Overdue",TODAY()-E316,"")</f>
        <v/>
      </c>
    </row>
    <row r="317">
      <c r="A317" s="16" t="n"/>
      <c r="B317" s="16" t="n"/>
      <c r="C317" s="16" t="n"/>
      <c r="D317" s="18" t="n"/>
      <c r="E317" s="19">
        <f>IF(D317="","",D317+Settings!$B$5)</f>
        <v/>
      </c>
      <c r="F317" s="20" t="n"/>
      <c r="G317" s="18" t="n"/>
      <c r="H317" s="12">
        <f>IF(F317="","",IF(G317&lt;&gt;"","Paid",IF(E317="","Sent",IF(E317&lt;TODAY(),"Overdue","Sent"))))</f>
        <v/>
      </c>
      <c r="I317" s="12">
        <f>IF(H317="Overdue",TODAY()-E317,"")</f>
        <v/>
      </c>
    </row>
    <row r="318">
      <c r="A318" s="16" t="n"/>
      <c r="B318" s="16" t="n"/>
      <c r="C318" s="16" t="n"/>
      <c r="D318" s="18" t="n"/>
      <c r="E318" s="19">
        <f>IF(D318="","",D318+Settings!$B$5)</f>
        <v/>
      </c>
      <c r="F318" s="20" t="n"/>
      <c r="G318" s="18" t="n"/>
      <c r="H318" s="12">
        <f>IF(F318="","",IF(G318&lt;&gt;"","Paid",IF(E318="","Sent",IF(E318&lt;TODAY(),"Overdue","Sent"))))</f>
        <v/>
      </c>
      <c r="I318" s="12">
        <f>IF(H318="Overdue",TODAY()-E318,"")</f>
        <v/>
      </c>
    </row>
    <row r="319">
      <c r="A319" s="16" t="n"/>
      <c r="B319" s="16" t="n"/>
      <c r="C319" s="16" t="n"/>
      <c r="D319" s="18" t="n"/>
      <c r="E319" s="19">
        <f>IF(D319="","",D319+Settings!$B$5)</f>
        <v/>
      </c>
      <c r="F319" s="20" t="n"/>
      <c r="G319" s="18" t="n"/>
      <c r="H319" s="12">
        <f>IF(F319="","",IF(G319&lt;&gt;"","Paid",IF(E319="","Sent",IF(E319&lt;TODAY(),"Overdue","Sent"))))</f>
        <v/>
      </c>
      <c r="I319" s="12">
        <f>IF(H319="Overdue",TODAY()-E319,"")</f>
        <v/>
      </c>
    </row>
    <row r="320">
      <c r="A320" s="16" t="n"/>
      <c r="B320" s="16" t="n"/>
      <c r="C320" s="16" t="n"/>
      <c r="D320" s="18" t="n"/>
      <c r="E320" s="19">
        <f>IF(D320="","",D320+Settings!$B$5)</f>
        <v/>
      </c>
      <c r="F320" s="20" t="n"/>
      <c r="G320" s="18" t="n"/>
      <c r="H320" s="12">
        <f>IF(F320="","",IF(G320&lt;&gt;"","Paid",IF(E320="","Sent",IF(E320&lt;TODAY(),"Overdue","Sent"))))</f>
        <v/>
      </c>
      <c r="I320" s="12">
        <f>IF(H320="Overdue",TODAY()-E320,"")</f>
        <v/>
      </c>
    </row>
    <row r="321">
      <c r="A321" s="16" t="n"/>
      <c r="B321" s="16" t="n"/>
      <c r="C321" s="16" t="n"/>
      <c r="D321" s="18" t="n"/>
      <c r="E321" s="19">
        <f>IF(D321="","",D321+Settings!$B$5)</f>
        <v/>
      </c>
      <c r="F321" s="20" t="n"/>
      <c r="G321" s="18" t="n"/>
      <c r="H321" s="12">
        <f>IF(F321="","",IF(G321&lt;&gt;"","Paid",IF(E321="","Sent",IF(E321&lt;TODAY(),"Overdue","Sent"))))</f>
        <v/>
      </c>
      <c r="I321" s="12">
        <f>IF(H321="Overdue",TODAY()-E321,"")</f>
        <v/>
      </c>
    </row>
    <row r="322">
      <c r="A322" s="16" t="n"/>
      <c r="B322" s="16" t="n"/>
      <c r="C322" s="16" t="n"/>
      <c r="D322" s="18" t="n"/>
      <c r="E322" s="19">
        <f>IF(D322="","",D322+Settings!$B$5)</f>
        <v/>
      </c>
      <c r="F322" s="20" t="n"/>
      <c r="G322" s="18" t="n"/>
      <c r="H322" s="12">
        <f>IF(F322="","",IF(G322&lt;&gt;"","Paid",IF(E322="","Sent",IF(E322&lt;TODAY(),"Overdue","Sent"))))</f>
        <v/>
      </c>
      <c r="I322" s="12">
        <f>IF(H322="Overdue",TODAY()-E322,"")</f>
        <v/>
      </c>
    </row>
    <row r="323">
      <c r="A323" s="16" t="n"/>
      <c r="B323" s="16" t="n"/>
      <c r="C323" s="16" t="n"/>
      <c r="D323" s="18" t="n"/>
      <c r="E323" s="19">
        <f>IF(D323="","",D323+Settings!$B$5)</f>
        <v/>
      </c>
      <c r="F323" s="20" t="n"/>
      <c r="G323" s="18" t="n"/>
      <c r="H323" s="12">
        <f>IF(F323="","",IF(G323&lt;&gt;"","Paid",IF(E323="","Sent",IF(E323&lt;TODAY(),"Overdue","Sent"))))</f>
        <v/>
      </c>
      <c r="I323" s="12">
        <f>IF(H323="Overdue",TODAY()-E323,"")</f>
        <v/>
      </c>
    </row>
    <row r="324">
      <c r="A324" s="16" t="n"/>
      <c r="B324" s="16" t="n"/>
      <c r="C324" s="16" t="n"/>
      <c r="D324" s="18" t="n"/>
      <c r="E324" s="19">
        <f>IF(D324="","",D324+Settings!$B$5)</f>
        <v/>
      </c>
      <c r="F324" s="20" t="n"/>
      <c r="G324" s="18" t="n"/>
      <c r="H324" s="12">
        <f>IF(F324="","",IF(G324&lt;&gt;"","Paid",IF(E324="","Sent",IF(E324&lt;TODAY(),"Overdue","Sent"))))</f>
        <v/>
      </c>
      <c r="I324" s="12">
        <f>IF(H324="Overdue",TODAY()-E324,"")</f>
        <v/>
      </c>
    </row>
    <row r="325">
      <c r="A325" s="16" t="n"/>
      <c r="B325" s="16" t="n"/>
      <c r="C325" s="16" t="n"/>
      <c r="D325" s="18" t="n"/>
      <c r="E325" s="19">
        <f>IF(D325="","",D325+Settings!$B$5)</f>
        <v/>
      </c>
      <c r="F325" s="20" t="n"/>
      <c r="G325" s="18" t="n"/>
      <c r="H325" s="12">
        <f>IF(F325="","",IF(G325&lt;&gt;"","Paid",IF(E325="","Sent",IF(E325&lt;TODAY(),"Overdue","Sent"))))</f>
        <v/>
      </c>
      <c r="I325" s="12">
        <f>IF(H325="Overdue",TODAY()-E325,"")</f>
        <v/>
      </c>
    </row>
    <row r="326">
      <c r="A326" s="16" t="n"/>
      <c r="B326" s="16" t="n"/>
      <c r="C326" s="16" t="n"/>
      <c r="D326" s="18" t="n"/>
      <c r="E326" s="19">
        <f>IF(D326="","",D326+Settings!$B$5)</f>
        <v/>
      </c>
      <c r="F326" s="20" t="n"/>
      <c r="G326" s="18" t="n"/>
      <c r="H326" s="12">
        <f>IF(F326="","",IF(G326&lt;&gt;"","Paid",IF(E326="","Sent",IF(E326&lt;TODAY(),"Overdue","Sent"))))</f>
        <v/>
      </c>
      <c r="I326" s="12">
        <f>IF(H326="Overdue",TODAY()-E326,"")</f>
        <v/>
      </c>
    </row>
    <row r="327">
      <c r="A327" s="16" t="n"/>
      <c r="B327" s="16" t="n"/>
      <c r="C327" s="16" t="n"/>
      <c r="D327" s="18" t="n"/>
      <c r="E327" s="19">
        <f>IF(D327="","",D327+Settings!$B$5)</f>
        <v/>
      </c>
      <c r="F327" s="20" t="n"/>
      <c r="G327" s="18" t="n"/>
      <c r="H327" s="12">
        <f>IF(F327="","",IF(G327&lt;&gt;"","Paid",IF(E327="","Sent",IF(E327&lt;TODAY(),"Overdue","Sent"))))</f>
        <v/>
      </c>
      <c r="I327" s="12">
        <f>IF(H327="Overdue",TODAY()-E327,"")</f>
        <v/>
      </c>
    </row>
    <row r="328">
      <c r="A328" s="16" t="n"/>
      <c r="B328" s="16" t="n"/>
      <c r="C328" s="16" t="n"/>
      <c r="D328" s="18" t="n"/>
      <c r="E328" s="19">
        <f>IF(D328="","",D328+Settings!$B$5)</f>
        <v/>
      </c>
      <c r="F328" s="20" t="n"/>
      <c r="G328" s="18" t="n"/>
      <c r="H328" s="12">
        <f>IF(F328="","",IF(G328&lt;&gt;"","Paid",IF(E328="","Sent",IF(E328&lt;TODAY(),"Overdue","Sent"))))</f>
        <v/>
      </c>
      <c r="I328" s="12">
        <f>IF(H328="Overdue",TODAY()-E328,"")</f>
        <v/>
      </c>
    </row>
    <row r="329">
      <c r="A329" s="16" t="n"/>
      <c r="B329" s="16" t="n"/>
      <c r="C329" s="16" t="n"/>
      <c r="D329" s="18" t="n"/>
      <c r="E329" s="19">
        <f>IF(D329="","",D329+Settings!$B$5)</f>
        <v/>
      </c>
      <c r="F329" s="20" t="n"/>
      <c r="G329" s="18" t="n"/>
      <c r="H329" s="12">
        <f>IF(F329="","",IF(G329&lt;&gt;"","Paid",IF(E329="","Sent",IF(E329&lt;TODAY(),"Overdue","Sent"))))</f>
        <v/>
      </c>
      <c r="I329" s="12">
        <f>IF(H329="Overdue",TODAY()-E329,"")</f>
        <v/>
      </c>
    </row>
    <row r="330">
      <c r="A330" s="16" t="n"/>
      <c r="B330" s="16" t="n"/>
      <c r="C330" s="16" t="n"/>
      <c r="D330" s="18" t="n"/>
      <c r="E330" s="19">
        <f>IF(D330="","",D330+Settings!$B$5)</f>
        <v/>
      </c>
      <c r="F330" s="20" t="n"/>
      <c r="G330" s="18" t="n"/>
      <c r="H330" s="12">
        <f>IF(F330="","",IF(G330&lt;&gt;"","Paid",IF(E330="","Sent",IF(E330&lt;TODAY(),"Overdue","Sent"))))</f>
        <v/>
      </c>
      <c r="I330" s="12">
        <f>IF(H330="Overdue",TODAY()-E330,"")</f>
        <v/>
      </c>
    </row>
    <row r="331">
      <c r="A331" s="16" t="n"/>
      <c r="B331" s="16" t="n"/>
      <c r="C331" s="16" t="n"/>
      <c r="D331" s="18" t="n"/>
      <c r="E331" s="19">
        <f>IF(D331="","",D331+Settings!$B$5)</f>
        <v/>
      </c>
      <c r="F331" s="20" t="n"/>
      <c r="G331" s="18" t="n"/>
      <c r="H331" s="12">
        <f>IF(F331="","",IF(G331&lt;&gt;"","Paid",IF(E331="","Sent",IF(E331&lt;TODAY(),"Overdue","Sent"))))</f>
        <v/>
      </c>
      <c r="I331" s="12">
        <f>IF(H331="Overdue",TODAY()-E331,"")</f>
        <v/>
      </c>
    </row>
    <row r="332">
      <c r="A332" s="16" t="n"/>
      <c r="B332" s="16" t="n"/>
      <c r="C332" s="16" t="n"/>
      <c r="D332" s="18" t="n"/>
      <c r="E332" s="19">
        <f>IF(D332="","",D332+Settings!$B$5)</f>
        <v/>
      </c>
      <c r="F332" s="20" t="n"/>
      <c r="G332" s="18" t="n"/>
      <c r="H332" s="12">
        <f>IF(F332="","",IF(G332&lt;&gt;"","Paid",IF(E332="","Sent",IF(E332&lt;TODAY(),"Overdue","Sent"))))</f>
        <v/>
      </c>
      <c r="I332" s="12">
        <f>IF(H332="Overdue",TODAY()-E332,"")</f>
        <v/>
      </c>
    </row>
    <row r="333">
      <c r="A333" s="16" t="n"/>
      <c r="B333" s="16" t="n"/>
      <c r="C333" s="16" t="n"/>
      <c r="D333" s="18" t="n"/>
      <c r="E333" s="19">
        <f>IF(D333="","",D333+Settings!$B$5)</f>
        <v/>
      </c>
      <c r="F333" s="20" t="n"/>
      <c r="G333" s="18" t="n"/>
      <c r="H333" s="12">
        <f>IF(F333="","",IF(G333&lt;&gt;"","Paid",IF(E333="","Sent",IF(E333&lt;TODAY(),"Overdue","Sent"))))</f>
        <v/>
      </c>
      <c r="I333" s="12">
        <f>IF(H333="Overdue",TODAY()-E333,"")</f>
        <v/>
      </c>
    </row>
    <row r="334">
      <c r="A334" s="16" t="n"/>
      <c r="B334" s="16" t="n"/>
      <c r="C334" s="16" t="n"/>
      <c r="D334" s="18" t="n"/>
      <c r="E334" s="19">
        <f>IF(D334="","",D334+Settings!$B$5)</f>
        <v/>
      </c>
      <c r="F334" s="20" t="n"/>
      <c r="G334" s="18" t="n"/>
      <c r="H334" s="12">
        <f>IF(F334="","",IF(G334&lt;&gt;"","Paid",IF(E334="","Sent",IF(E334&lt;TODAY(),"Overdue","Sent"))))</f>
        <v/>
      </c>
      <c r="I334" s="12">
        <f>IF(H334="Overdue",TODAY()-E334,"")</f>
        <v/>
      </c>
    </row>
    <row r="335">
      <c r="A335" s="16" t="n"/>
      <c r="B335" s="16" t="n"/>
      <c r="C335" s="16" t="n"/>
      <c r="D335" s="18" t="n"/>
      <c r="E335" s="19">
        <f>IF(D335="","",D335+Settings!$B$5)</f>
        <v/>
      </c>
      <c r="F335" s="20" t="n"/>
      <c r="G335" s="18" t="n"/>
      <c r="H335" s="12">
        <f>IF(F335="","",IF(G335&lt;&gt;"","Paid",IF(E335="","Sent",IF(E335&lt;TODAY(),"Overdue","Sent"))))</f>
        <v/>
      </c>
      <c r="I335" s="12">
        <f>IF(H335="Overdue",TODAY()-E335,"")</f>
        <v/>
      </c>
    </row>
    <row r="336">
      <c r="A336" s="16" t="n"/>
      <c r="B336" s="16" t="n"/>
      <c r="C336" s="16" t="n"/>
      <c r="D336" s="18" t="n"/>
      <c r="E336" s="19">
        <f>IF(D336="","",D336+Settings!$B$5)</f>
        <v/>
      </c>
      <c r="F336" s="20" t="n"/>
      <c r="G336" s="18" t="n"/>
      <c r="H336" s="12">
        <f>IF(F336="","",IF(G336&lt;&gt;"","Paid",IF(E336="","Sent",IF(E336&lt;TODAY(),"Overdue","Sent"))))</f>
        <v/>
      </c>
      <c r="I336" s="12">
        <f>IF(H336="Overdue",TODAY()-E336,"")</f>
        <v/>
      </c>
    </row>
    <row r="337">
      <c r="A337" s="16" t="n"/>
      <c r="B337" s="16" t="n"/>
      <c r="C337" s="16" t="n"/>
      <c r="D337" s="18" t="n"/>
      <c r="E337" s="19">
        <f>IF(D337="","",D337+Settings!$B$5)</f>
        <v/>
      </c>
      <c r="F337" s="20" t="n"/>
      <c r="G337" s="18" t="n"/>
      <c r="H337" s="12">
        <f>IF(F337="","",IF(G337&lt;&gt;"","Paid",IF(E337="","Sent",IF(E337&lt;TODAY(),"Overdue","Sent"))))</f>
        <v/>
      </c>
      <c r="I337" s="12">
        <f>IF(H337="Overdue",TODAY()-E337,"")</f>
        <v/>
      </c>
    </row>
    <row r="338">
      <c r="A338" s="16" t="n"/>
      <c r="B338" s="16" t="n"/>
      <c r="C338" s="16" t="n"/>
      <c r="D338" s="18" t="n"/>
      <c r="E338" s="19">
        <f>IF(D338="","",D338+Settings!$B$5)</f>
        <v/>
      </c>
      <c r="F338" s="20" t="n"/>
      <c r="G338" s="18" t="n"/>
      <c r="H338" s="12">
        <f>IF(F338="","",IF(G338&lt;&gt;"","Paid",IF(E338="","Sent",IF(E338&lt;TODAY(),"Overdue","Sent"))))</f>
        <v/>
      </c>
      <c r="I338" s="12">
        <f>IF(H338="Overdue",TODAY()-E338,"")</f>
        <v/>
      </c>
    </row>
    <row r="339">
      <c r="A339" s="16" t="n"/>
      <c r="B339" s="16" t="n"/>
      <c r="C339" s="16" t="n"/>
      <c r="D339" s="18" t="n"/>
      <c r="E339" s="19">
        <f>IF(D339="","",D339+Settings!$B$5)</f>
        <v/>
      </c>
      <c r="F339" s="20" t="n"/>
      <c r="G339" s="18" t="n"/>
      <c r="H339" s="12">
        <f>IF(F339="","",IF(G339&lt;&gt;"","Paid",IF(E339="","Sent",IF(E339&lt;TODAY(),"Overdue","Sent"))))</f>
        <v/>
      </c>
      <c r="I339" s="12">
        <f>IF(H339="Overdue",TODAY()-E339,"")</f>
        <v/>
      </c>
    </row>
    <row r="340">
      <c r="A340" s="16" t="n"/>
      <c r="B340" s="16" t="n"/>
      <c r="C340" s="16" t="n"/>
      <c r="D340" s="18" t="n"/>
      <c r="E340" s="19">
        <f>IF(D340="","",D340+Settings!$B$5)</f>
        <v/>
      </c>
      <c r="F340" s="20" t="n"/>
      <c r="G340" s="18" t="n"/>
      <c r="H340" s="12">
        <f>IF(F340="","",IF(G340&lt;&gt;"","Paid",IF(E340="","Sent",IF(E340&lt;TODAY(),"Overdue","Sent"))))</f>
        <v/>
      </c>
      <c r="I340" s="12">
        <f>IF(H340="Overdue",TODAY()-E340,"")</f>
        <v/>
      </c>
    </row>
    <row r="341">
      <c r="A341" s="16" t="n"/>
      <c r="B341" s="16" t="n"/>
      <c r="C341" s="16" t="n"/>
      <c r="D341" s="18" t="n"/>
      <c r="E341" s="19">
        <f>IF(D341="","",D341+Settings!$B$5)</f>
        <v/>
      </c>
      <c r="F341" s="20" t="n"/>
      <c r="G341" s="18" t="n"/>
      <c r="H341" s="12">
        <f>IF(F341="","",IF(G341&lt;&gt;"","Paid",IF(E341="","Sent",IF(E341&lt;TODAY(),"Overdue","Sent"))))</f>
        <v/>
      </c>
      <c r="I341" s="12">
        <f>IF(H341="Overdue",TODAY()-E341,"")</f>
        <v/>
      </c>
    </row>
    <row r="342">
      <c r="A342" s="16" t="n"/>
      <c r="B342" s="16" t="n"/>
      <c r="C342" s="16" t="n"/>
      <c r="D342" s="18" t="n"/>
      <c r="E342" s="19">
        <f>IF(D342="","",D342+Settings!$B$5)</f>
        <v/>
      </c>
      <c r="F342" s="20" t="n"/>
      <c r="G342" s="18" t="n"/>
      <c r="H342" s="12">
        <f>IF(F342="","",IF(G342&lt;&gt;"","Paid",IF(E342="","Sent",IF(E342&lt;TODAY(),"Overdue","Sent"))))</f>
        <v/>
      </c>
      <c r="I342" s="12">
        <f>IF(H342="Overdue",TODAY()-E342,"")</f>
        <v/>
      </c>
    </row>
    <row r="343">
      <c r="A343" s="16" t="n"/>
      <c r="B343" s="16" t="n"/>
      <c r="C343" s="16" t="n"/>
      <c r="D343" s="18" t="n"/>
      <c r="E343" s="19">
        <f>IF(D343="","",D343+Settings!$B$5)</f>
        <v/>
      </c>
      <c r="F343" s="20" t="n"/>
      <c r="G343" s="18" t="n"/>
      <c r="H343" s="12">
        <f>IF(F343="","",IF(G343&lt;&gt;"","Paid",IF(E343="","Sent",IF(E343&lt;TODAY(),"Overdue","Sent"))))</f>
        <v/>
      </c>
      <c r="I343" s="12">
        <f>IF(H343="Overdue",TODAY()-E343,"")</f>
        <v/>
      </c>
    </row>
    <row r="344">
      <c r="A344" s="16" t="n"/>
      <c r="B344" s="16" t="n"/>
      <c r="C344" s="16" t="n"/>
      <c r="D344" s="18" t="n"/>
      <c r="E344" s="19">
        <f>IF(D344="","",D344+Settings!$B$5)</f>
        <v/>
      </c>
      <c r="F344" s="20" t="n"/>
      <c r="G344" s="18" t="n"/>
      <c r="H344" s="12">
        <f>IF(F344="","",IF(G344&lt;&gt;"","Paid",IF(E344="","Sent",IF(E344&lt;TODAY(),"Overdue","Sent"))))</f>
        <v/>
      </c>
      <c r="I344" s="12">
        <f>IF(H344="Overdue",TODAY()-E344,"")</f>
        <v/>
      </c>
    </row>
    <row r="345">
      <c r="A345" s="16" t="n"/>
      <c r="B345" s="16" t="n"/>
      <c r="C345" s="16" t="n"/>
      <c r="D345" s="18" t="n"/>
      <c r="E345" s="19">
        <f>IF(D345="","",D345+Settings!$B$5)</f>
        <v/>
      </c>
      <c r="F345" s="20" t="n"/>
      <c r="G345" s="18" t="n"/>
      <c r="H345" s="12">
        <f>IF(F345="","",IF(G345&lt;&gt;"","Paid",IF(E345="","Sent",IF(E345&lt;TODAY(),"Overdue","Sent"))))</f>
        <v/>
      </c>
      <c r="I345" s="12">
        <f>IF(H345="Overdue",TODAY()-E345,"")</f>
        <v/>
      </c>
    </row>
    <row r="346">
      <c r="A346" s="16" t="n"/>
      <c r="B346" s="16" t="n"/>
      <c r="C346" s="16" t="n"/>
      <c r="D346" s="18" t="n"/>
      <c r="E346" s="19">
        <f>IF(D346="","",D346+Settings!$B$5)</f>
        <v/>
      </c>
      <c r="F346" s="20" t="n"/>
      <c r="G346" s="18" t="n"/>
      <c r="H346" s="12">
        <f>IF(F346="","",IF(G346&lt;&gt;"","Paid",IF(E346="","Sent",IF(E346&lt;TODAY(),"Overdue","Sent"))))</f>
        <v/>
      </c>
      <c r="I346" s="12">
        <f>IF(H346="Overdue",TODAY()-E346,"")</f>
        <v/>
      </c>
    </row>
    <row r="347">
      <c r="A347" s="16" t="n"/>
      <c r="B347" s="16" t="n"/>
      <c r="C347" s="16" t="n"/>
      <c r="D347" s="18" t="n"/>
      <c r="E347" s="19">
        <f>IF(D347="","",D347+Settings!$B$5)</f>
        <v/>
      </c>
      <c r="F347" s="20" t="n"/>
      <c r="G347" s="18" t="n"/>
      <c r="H347" s="12">
        <f>IF(F347="","",IF(G347&lt;&gt;"","Paid",IF(E347="","Sent",IF(E347&lt;TODAY(),"Overdue","Sent"))))</f>
        <v/>
      </c>
      <c r="I347" s="12">
        <f>IF(H347="Overdue",TODAY()-E347,"")</f>
        <v/>
      </c>
    </row>
    <row r="348">
      <c r="A348" s="16" t="n"/>
      <c r="B348" s="16" t="n"/>
      <c r="C348" s="16" t="n"/>
      <c r="D348" s="18" t="n"/>
      <c r="E348" s="19">
        <f>IF(D348="","",D348+Settings!$B$5)</f>
        <v/>
      </c>
      <c r="F348" s="20" t="n"/>
      <c r="G348" s="18" t="n"/>
      <c r="H348" s="12">
        <f>IF(F348="","",IF(G348&lt;&gt;"","Paid",IF(E348="","Sent",IF(E348&lt;TODAY(),"Overdue","Sent"))))</f>
        <v/>
      </c>
      <c r="I348" s="12">
        <f>IF(H348="Overdue",TODAY()-E348,"")</f>
        <v/>
      </c>
    </row>
    <row r="349">
      <c r="A349" s="16" t="n"/>
      <c r="B349" s="16" t="n"/>
      <c r="C349" s="16" t="n"/>
      <c r="D349" s="18" t="n"/>
      <c r="E349" s="19">
        <f>IF(D349="","",D349+Settings!$B$5)</f>
        <v/>
      </c>
      <c r="F349" s="20" t="n"/>
      <c r="G349" s="18" t="n"/>
      <c r="H349" s="12">
        <f>IF(F349="","",IF(G349&lt;&gt;"","Paid",IF(E349="","Sent",IF(E349&lt;TODAY(),"Overdue","Sent"))))</f>
        <v/>
      </c>
      <c r="I349" s="12">
        <f>IF(H349="Overdue",TODAY()-E349,"")</f>
        <v/>
      </c>
    </row>
    <row r="350">
      <c r="A350" s="16" t="n"/>
      <c r="B350" s="16" t="n"/>
      <c r="C350" s="16" t="n"/>
      <c r="D350" s="18" t="n"/>
      <c r="E350" s="19">
        <f>IF(D350="","",D350+Settings!$B$5)</f>
        <v/>
      </c>
      <c r="F350" s="20" t="n"/>
      <c r="G350" s="18" t="n"/>
      <c r="H350" s="12">
        <f>IF(F350="","",IF(G350&lt;&gt;"","Paid",IF(E350="","Sent",IF(E350&lt;TODAY(),"Overdue","Sent"))))</f>
        <v/>
      </c>
      <c r="I350" s="12">
        <f>IF(H350="Overdue",TODAY()-E350,"")</f>
        <v/>
      </c>
    </row>
    <row r="351">
      <c r="A351" s="16" t="n"/>
      <c r="B351" s="16" t="n"/>
      <c r="C351" s="16" t="n"/>
      <c r="D351" s="18" t="n"/>
      <c r="E351" s="19">
        <f>IF(D351="","",D351+Settings!$B$5)</f>
        <v/>
      </c>
      <c r="F351" s="20" t="n"/>
      <c r="G351" s="18" t="n"/>
      <c r="H351" s="12">
        <f>IF(F351="","",IF(G351&lt;&gt;"","Paid",IF(E351="","Sent",IF(E351&lt;TODAY(),"Overdue","Sent"))))</f>
        <v/>
      </c>
      <c r="I351" s="12">
        <f>IF(H351="Overdue",TODAY()-E351,"")</f>
        <v/>
      </c>
    </row>
    <row r="352">
      <c r="A352" s="16" t="n"/>
      <c r="B352" s="16" t="n"/>
      <c r="C352" s="16" t="n"/>
      <c r="D352" s="18" t="n"/>
      <c r="E352" s="19">
        <f>IF(D352="","",D352+Settings!$B$5)</f>
        <v/>
      </c>
      <c r="F352" s="20" t="n"/>
      <c r="G352" s="18" t="n"/>
      <c r="H352" s="12">
        <f>IF(F352="","",IF(G352&lt;&gt;"","Paid",IF(E352="","Sent",IF(E352&lt;TODAY(),"Overdue","Sent"))))</f>
        <v/>
      </c>
      <c r="I352" s="12">
        <f>IF(H352="Overdue",TODAY()-E352,"")</f>
        <v/>
      </c>
    </row>
    <row r="353">
      <c r="A353" s="16" t="n"/>
      <c r="B353" s="16" t="n"/>
      <c r="C353" s="16" t="n"/>
      <c r="D353" s="18" t="n"/>
      <c r="E353" s="19">
        <f>IF(D353="","",D353+Settings!$B$5)</f>
        <v/>
      </c>
      <c r="F353" s="20" t="n"/>
      <c r="G353" s="18" t="n"/>
      <c r="H353" s="12">
        <f>IF(F353="","",IF(G353&lt;&gt;"","Paid",IF(E353="","Sent",IF(E353&lt;TODAY(),"Overdue","Sent"))))</f>
        <v/>
      </c>
      <c r="I353" s="12">
        <f>IF(H353="Overdue",TODAY()-E353,"")</f>
        <v/>
      </c>
    </row>
    <row r="354">
      <c r="A354" s="16" t="n"/>
      <c r="B354" s="16" t="n"/>
      <c r="C354" s="16" t="n"/>
      <c r="D354" s="18" t="n"/>
      <c r="E354" s="19">
        <f>IF(D354="","",D354+Settings!$B$5)</f>
        <v/>
      </c>
      <c r="F354" s="20" t="n"/>
      <c r="G354" s="18" t="n"/>
      <c r="H354" s="12">
        <f>IF(F354="","",IF(G354&lt;&gt;"","Paid",IF(E354="","Sent",IF(E354&lt;TODAY(),"Overdue","Sent"))))</f>
        <v/>
      </c>
      <c r="I354" s="12">
        <f>IF(H354="Overdue",TODAY()-E354,"")</f>
        <v/>
      </c>
    </row>
    <row r="355">
      <c r="A355" s="16" t="n"/>
      <c r="B355" s="16" t="n"/>
      <c r="C355" s="16" t="n"/>
      <c r="D355" s="18" t="n"/>
      <c r="E355" s="19">
        <f>IF(D355="","",D355+Settings!$B$5)</f>
        <v/>
      </c>
      <c r="F355" s="20" t="n"/>
      <c r="G355" s="18" t="n"/>
      <c r="H355" s="12">
        <f>IF(F355="","",IF(G355&lt;&gt;"","Paid",IF(E355="","Sent",IF(E355&lt;TODAY(),"Overdue","Sent"))))</f>
        <v/>
      </c>
      <c r="I355" s="12">
        <f>IF(H355="Overdue",TODAY()-E355,"")</f>
        <v/>
      </c>
    </row>
    <row r="356">
      <c r="A356" s="16" t="n"/>
      <c r="B356" s="16" t="n"/>
      <c r="C356" s="16" t="n"/>
      <c r="D356" s="18" t="n"/>
      <c r="E356" s="19">
        <f>IF(D356="","",D356+Settings!$B$5)</f>
        <v/>
      </c>
      <c r="F356" s="20" t="n"/>
      <c r="G356" s="18" t="n"/>
      <c r="H356" s="12">
        <f>IF(F356="","",IF(G356&lt;&gt;"","Paid",IF(E356="","Sent",IF(E356&lt;TODAY(),"Overdue","Sent"))))</f>
        <v/>
      </c>
      <c r="I356" s="12">
        <f>IF(H356="Overdue",TODAY()-E356,"")</f>
        <v/>
      </c>
    </row>
    <row r="357">
      <c r="A357" s="16" t="n"/>
      <c r="B357" s="16" t="n"/>
      <c r="C357" s="16" t="n"/>
      <c r="D357" s="18" t="n"/>
      <c r="E357" s="19">
        <f>IF(D357="","",D357+Settings!$B$5)</f>
        <v/>
      </c>
      <c r="F357" s="20" t="n"/>
      <c r="G357" s="18" t="n"/>
      <c r="H357" s="12">
        <f>IF(F357="","",IF(G357&lt;&gt;"","Paid",IF(E357="","Sent",IF(E357&lt;TODAY(),"Overdue","Sent"))))</f>
        <v/>
      </c>
      <c r="I357" s="12">
        <f>IF(H357="Overdue",TODAY()-E357,"")</f>
        <v/>
      </c>
    </row>
    <row r="358">
      <c r="A358" s="16" t="n"/>
      <c r="B358" s="16" t="n"/>
      <c r="C358" s="16" t="n"/>
      <c r="D358" s="18" t="n"/>
      <c r="E358" s="19">
        <f>IF(D358="","",D358+Settings!$B$5)</f>
        <v/>
      </c>
      <c r="F358" s="20" t="n"/>
      <c r="G358" s="18" t="n"/>
      <c r="H358" s="12">
        <f>IF(F358="","",IF(G358&lt;&gt;"","Paid",IF(E358="","Sent",IF(E358&lt;TODAY(),"Overdue","Sent"))))</f>
        <v/>
      </c>
      <c r="I358" s="12">
        <f>IF(H358="Overdue",TODAY()-E358,"")</f>
        <v/>
      </c>
    </row>
    <row r="359">
      <c r="A359" s="16" t="n"/>
      <c r="B359" s="16" t="n"/>
      <c r="C359" s="16" t="n"/>
      <c r="D359" s="18" t="n"/>
      <c r="E359" s="19">
        <f>IF(D359="","",D359+Settings!$B$5)</f>
        <v/>
      </c>
      <c r="F359" s="20" t="n"/>
      <c r="G359" s="18" t="n"/>
      <c r="H359" s="12">
        <f>IF(F359="","",IF(G359&lt;&gt;"","Paid",IF(E359="","Sent",IF(E359&lt;TODAY(),"Overdue","Sent"))))</f>
        <v/>
      </c>
      <c r="I359" s="12">
        <f>IF(H359="Overdue",TODAY()-E359,"")</f>
        <v/>
      </c>
    </row>
    <row r="360">
      <c r="A360" s="16" t="n"/>
      <c r="B360" s="16" t="n"/>
      <c r="C360" s="16" t="n"/>
      <c r="D360" s="18" t="n"/>
      <c r="E360" s="19">
        <f>IF(D360="","",D360+Settings!$B$5)</f>
        <v/>
      </c>
      <c r="F360" s="20" t="n"/>
      <c r="G360" s="18" t="n"/>
      <c r="H360" s="12">
        <f>IF(F360="","",IF(G360&lt;&gt;"","Paid",IF(E360="","Sent",IF(E360&lt;TODAY(),"Overdue","Sent"))))</f>
        <v/>
      </c>
      <c r="I360" s="12">
        <f>IF(H360="Overdue",TODAY()-E360,"")</f>
        <v/>
      </c>
    </row>
    <row r="361">
      <c r="A361" s="16" t="n"/>
      <c r="B361" s="16" t="n"/>
      <c r="C361" s="16" t="n"/>
      <c r="D361" s="18" t="n"/>
      <c r="E361" s="19">
        <f>IF(D361="","",D361+Settings!$B$5)</f>
        <v/>
      </c>
      <c r="F361" s="20" t="n"/>
      <c r="G361" s="18" t="n"/>
      <c r="H361" s="12">
        <f>IF(F361="","",IF(G361&lt;&gt;"","Paid",IF(E361="","Sent",IF(E361&lt;TODAY(),"Overdue","Sent"))))</f>
        <v/>
      </c>
      <c r="I361" s="12">
        <f>IF(H361="Overdue",TODAY()-E361,"")</f>
        <v/>
      </c>
    </row>
    <row r="362">
      <c r="A362" s="16" t="n"/>
      <c r="B362" s="16" t="n"/>
      <c r="C362" s="16" t="n"/>
      <c r="D362" s="18" t="n"/>
      <c r="E362" s="19">
        <f>IF(D362="","",D362+Settings!$B$5)</f>
        <v/>
      </c>
      <c r="F362" s="20" t="n"/>
      <c r="G362" s="18" t="n"/>
      <c r="H362" s="12">
        <f>IF(F362="","",IF(G362&lt;&gt;"","Paid",IF(E362="","Sent",IF(E362&lt;TODAY(),"Overdue","Sent"))))</f>
        <v/>
      </c>
      <c r="I362" s="12">
        <f>IF(H362="Overdue",TODAY()-E362,"")</f>
        <v/>
      </c>
    </row>
    <row r="363">
      <c r="A363" s="16" t="n"/>
      <c r="B363" s="16" t="n"/>
      <c r="C363" s="16" t="n"/>
      <c r="D363" s="18" t="n"/>
      <c r="E363" s="19">
        <f>IF(D363="","",D363+Settings!$B$5)</f>
        <v/>
      </c>
      <c r="F363" s="20" t="n"/>
      <c r="G363" s="18" t="n"/>
      <c r="H363" s="12">
        <f>IF(F363="","",IF(G363&lt;&gt;"","Paid",IF(E363="","Sent",IF(E363&lt;TODAY(),"Overdue","Sent"))))</f>
        <v/>
      </c>
      <c r="I363" s="12">
        <f>IF(H363="Overdue",TODAY()-E363,"")</f>
        <v/>
      </c>
    </row>
    <row r="364">
      <c r="A364" s="16" t="n"/>
      <c r="B364" s="16" t="n"/>
      <c r="C364" s="16" t="n"/>
      <c r="D364" s="18" t="n"/>
      <c r="E364" s="19">
        <f>IF(D364="","",D364+Settings!$B$5)</f>
        <v/>
      </c>
      <c r="F364" s="20" t="n"/>
      <c r="G364" s="18" t="n"/>
      <c r="H364" s="12">
        <f>IF(F364="","",IF(G364&lt;&gt;"","Paid",IF(E364="","Sent",IF(E364&lt;TODAY(),"Overdue","Sent"))))</f>
        <v/>
      </c>
      <c r="I364" s="12">
        <f>IF(H364="Overdue",TODAY()-E364,"")</f>
        <v/>
      </c>
    </row>
    <row r="365">
      <c r="A365" s="16" t="n"/>
      <c r="B365" s="16" t="n"/>
      <c r="C365" s="16" t="n"/>
      <c r="D365" s="18" t="n"/>
      <c r="E365" s="19">
        <f>IF(D365="","",D365+Settings!$B$5)</f>
        <v/>
      </c>
      <c r="F365" s="20" t="n"/>
      <c r="G365" s="18" t="n"/>
      <c r="H365" s="12">
        <f>IF(F365="","",IF(G365&lt;&gt;"","Paid",IF(E365="","Sent",IF(E365&lt;TODAY(),"Overdue","Sent"))))</f>
        <v/>
      </c>
      <c r="I365" s="12">
        <f>IF(H365="Overdue",TODAY()-E365,"")</f>
        <v/>
      </c>
    </row>
    <row r="366">
      <c r="A366" s="16" t="n"/>
      <c r="B366" s="16" t="n"/>
      <c r="C366" s="16" t="n"/>
      <c r="D366" s="18" t="n"/>
      <c r="E366" s="19">
        <f>IF(D366="","",D366+Settings!$B$5)</f>
        <v/>
      </c>
      <c r="F366" s="20" t="n"/>
      <c r="G366" s="18" t="n"/>
      <c r="H366" s="12">
        <f>IF(F366="","",IF(G366&lt;&gt;"","Paid",IF(E366="","Sent",IF(E366&lt;TODAY(),"Overdue","Sent"))))</f>
        <v/>
      </c>
      <c r="I366" s="12">
        <f>IF(H366="Overdue",TODAY()-E366,"")</f>
        <v/>
      </c>
    </row>
    <row r="367">
      <c r="A367" s="16" t="n"/>
      <c r="B367" s="16" t="n"/>
      <c r="C367" s="16" t="n"/>
      <c r="D367" s="18" t="n"/>
      <c r="E367" s="19">
        <f>IF(D367="","",D367+Settings!$B$5)</f>
        <v/>
      </c>
      <c r="F367" s="20" t="n"/>
      <c r="G367" s="18" t="n"/>
      <c r="H367" s="12">
        <f>IF(F367="","",IF(G367&lt;&gt;"","Paid",IF(E367="","Sent",IF(E367&lt;TODAY(),"Overdue","Sent"))))</f>
        <v/>
      </c>
      <c r="I367" s="12">
        <f>IF(H367="Overdue",TODAY()-E367,"")</f>
        <v/>
      </c>
    </row>
    <row r="368">
      <c r="A368" s="16" t="n"/>
      <c r="B368" s="16" t="n"/>
      <c r="C368" s="16" t="n"/>
      <c r="D368" s="18" t="n"/>
      <c r="E368" s="19">
        <f>IF(D368="","",D368+Settings!$B$5)</f>
        <v/>
      </c>
      <c r="F368" s="20" t="n"/>
      <c r="G368" s="18" t="n"/>
      <c r="H368" s="12">
        <f>IF(F368="","",IF(G368&lt;&gt;"","Paid",IF(E368="","Sent",IF(E368&lt;TODAY(),"Overdue","Sent"))))</f>
        <v/>
      </c>
      <c r="I368" s="12">
        <f>IF(H368="Overdue",TODAY()-E368,"")</f>
        <v/>
      </c>
    </row>
    <row r="369">
      <c r="A369" s="16" t="n"/>
      <c r="B369" s="16" t="n"/>
      <c r="C369" s="16" t="n"/>
      <c r="D369" s="18" t="n"/>
      <c r="E369" s="19">
        <f>IF(D369="","",D369+Settings!$B$5)</f>
        <v/>
      </c>
      <c r="F369" s="20" t="n"/>
      <c r="G369" s="18" t="n"/>
      <c r="H369" s="12">
        <f>IF(F369="","",IF(G369&lt;&gt;"","Paid",IF(E369="","Sent",IF(E369&lt;TODAY(),"Overdue","Sent"))))</f>
        <v/>
      </c>
      <c r="I369" s="12">
        <f>IF(H369="Overdue",TODAY()-E369,"")</f>
        <v/>
      </c>
    </row>
    <row r="370">
      <c r="A370" s="16" t="n"/>
      <c r="B370" s="16" t="n"/>
      <c r="C370" s="16" t="n"/>
      <c r="D370" s="18" t="n"/>
      <c r="E370" s="19">
        <f>IF(D370="","",D370+Settings!$B$5)</f>
        <v/>
      </c>
      <c r="F370" s="20" t="n"/>
      <c r="G370" s="18" t="n"/>
      <c r="H370" s="12">
        <f>IF(F370="","",IF(G370&lt;&gt;"","Paid",IF(E370="","Sent",IF(E370&lt;TODAY(),"Overdue","Sent"))))</f>
        <v/>
      </c>
      <c r="I370" s="12">
        <f>IF(H370="Overdue",TODAY()-E370,"")</f>
        <v/>
      </c>
    </row>
    <row r="371">
      <c r="A371" s="16" t="n"/>
      <c r="B371" s="16" t="n"/>
      <c r="C371" s="16" t="n"/>
      <c r="D371" s="18" t="n"/>
      <c r="E371" s="19">
        <f>IF(D371="","",D371+Settings!$B$5)</f>
        <v/>
      </c>
      <c r="F371" s="20" t="n"/>
      <c r="G371" s="18" t="n"/>
      <c r="H371" s="12">
        <f>IF(F371="","",IF(G371&lt;&gt;"","Paid",IF(E371="","Sent",IF(E371&lt;TODAY(),"Overdue","Sent"))))</f>
        <v/>
      </c>
      <c r="I371" s="12">
        <f>IF(H371="Overdue",TODAY()-E371,"")</f>
        <v/>
      </c>
    </row>
    <row r="372">
      <c r="A372" s="16" t="n"/>
      <c r="B372" s="16" t="n"/>
      <c r="C372" s="16" t="n"/>
      <c r="D372" s="18" t="n"/>
      <c r="E372" s="19">
        <f>IF(D372="","",D372+Settings!$B$5)</f>
        <v/>
      </c>
      <c r="F372" s="20" t="n"/>
      <c r="G372" s="18" t="n"/>
      <c r="H372" s="12">
        <f>IF(F372="","",IF(G372&lt;&gt;"","Paid",IF(E372="","Sent",IF(E372&lt;TODAY(),"Overdue","Sent"))))</f>
        <v/>
      </c>
      <c r="I372" s="12">
        <f>IF(H372="Overdue",TODAY()-E372,"")</f>
        <v/>
      </c>
    </row>
    <row r="373">
      <c r="A373" s="16" t="n"/>
      <c r="B373" s="16" t="n"/>
      <c r="C373" s="16" t="n"/>
      <c r="D373" s="18" t="n"/>
      <c r="E373" s="19">
        <f>IF(D373="","",D373+Settings!$B$5)</f>
        <v/>
      </c>
      <c r="F373" s="20" t="n"/>
      <c r="G373" s="18" t="n"/>
      <c r="H373" s="12">
        <f>IF(F373="","",IF(G373&lt;&gt;"","Paid",IF(E373="","Sent",IF(E373&lt;TODAY(),"Overdue","Sent"))))</f>
        <v/>
      </c>
      <c r="I373" s="12">
        <f>IF(H373="Overdue",TODAY()-E373,"")</f>
        <v/>
      </c>
    </row>
    <row r="374">
      <c r="A374" s="16" t="n"/>
      <c r="B374" s="16" t="n"/>
      <c r="C374" s="16" t="n"/>
      <c r="D374" s="18" t="n"/>
      <c r="E374" s="19">
        <f>IF(D374="","",D374+Settings!$B$5)</f>
        <v/>
      </c>
      <c r="F374" s="20" t="n"/>
      <c r="G374" s="18" t="n"/>
      <c r="H374" s="12">
        <f>IF(F374="","",IF(G374&lt;&gt;"","Paid",IF(E374="","Sent",IF(E374&lt;TODAY(),"Overdue","Sent"))))</f>
        <v/>
      </c>
      <c r="I374" s="12">
        <f>IF(H374="Overdue",TODAY()-E374,"")</f>
        <v/>
      </c>
    </row>
    <row r="375">
      <c r="A375" s="16" t="n"/>
      <c r="B375" s="16" t="n"/>
      <c r="C375" s="16" t="n"/>
      <c r="D375" s="18" t="n"/>
      <c r="E375" s="19">
        <f>IF(D375="","",D375+Settings!$B$5)</f>
        <v/>
      </c>
      <c r="F375" s="20" t="n"/>
      <c r="G375" s="18" t="n"/>
      <c r="H375" s="12">
        <f>IF(F375="","",IF(G375&lt;&gt;"","Paid",IF(E375="","Sent",IF(E375&lt;TODAY(),"Overdue","Sent"))))</f>
        <v/>
      </c>
      <c r="I375" s="12">
        <f>IF(H375="Overdue",TODAY()-E375,"")</f>
        <v/>
      </c>
    </row>
    <row r="376">
      <c r="A376" s="16" t="n"/>
      <c r="B376" s="16" t="n"/>
      <c r="C376" s="16" t="n"/>
      <c r="D376" s="18" t="n"/>
      <c r="E376" s="19">
        <f>IF(D376="","",D376+Settings!$B$5)</f>
        <v/>
      </c>
      <c r="F376" s="20" t="n"/>
      <c r="G376" s="18" t="n"/>
      <c r="H376" s="12">
        <f>IF(F376="","",IF(G376&lt;&gt;"","Paid",IF(E376="","Sent",IF(E376&lt;TODAY(),"Overdue","Sent"))))</f>
        <v/>
      </c>
      <c r="I376" s="12">
        <f>IF(H376="Overdue",TODAY()-E376,"")</f>
        <v/>
      </c>
    </row>
    <row r="377">
      <c r="A377" s="16" t="n"/>
      <c r="B377" s="16" t="n"/>
      <c r="C377" s="16" t="n"/>
      <c r="D377" s="18" t="n"/>
      <c r="E377" s="19">
        <f>IF(D377="","",D377+Settings!$B$5)</f>
        <v/>
      </c>
      <c r="F377" s="20" t="n"/>
      <c r="G377" s="18" t="n"/>
      <c r="H377" s="12">
        <f>IF(F377="","",IF(G377&lt;&gt;"","Paid",IF(E377="","Sent",IF(E377&lt;TODAY(),"Overdue","Sent"))))</f>
        <v/>
      </c>
      <c r="I377" s="12">
        <f>IF(H377="Overdue",TODAY()-E377,"")</f>
        <v/>
      </c>
    </row>
    <row r="378">
      <c r="A378" s="16" t="n"/>
      <c r="B378" s="16" t="n"/>
      <c r="C378" s="16" t="n"/>
      <c r="D378" s="18" t="n"/>
      <c r="E378" s="19">
        <f>IF(D378="","",D378+Settings!$B$5)</f>
        <v/>
      </c>
      <c r="F378" s="20" t="n"/>
      <c r="G378" s="18" t="n"/>
      <c r="H378" s="12">
        <f>IF(F378="","",IF(G378&lt;&gt;"","Paid",IF(E378="","Sent",IF(E378&lt;TODAY(),"Overdue","Sent"))))</f>
        <v/>
      </c>
      <c r="I378" s="12">
        <f>IF(H378="Overdue",TODAY()-E378,"")</f>
        <v/>
      </c>
    </row>
    <row r="379">
      <c r="A379" s="16" t="n"/>
      <c r="B379" s="16" t="n"/>
      <c r="C379" s="16" t="n"/>
      <c r="D379" s="18" t="n"/>
      <c r="E379" s="19">
        <f>IF(D379="","",D379+Settings!$B$5)</f>
        <v/>
      </c>
      <c r="F379" s="20" t="n"/>
      <c r="G379" s="18" t="n"/>
      <c r="H379" s="12">
        <f>IF(F379="","",IF(G379&lt;&gt;"","Paid",IF(E379="","Sent",IF(E379&lt;TODAY(),"Overdue","Sent"))))</f>
        <v/>
      </c>
      <c r="I379" s="12">
        <f>IF(H379="Overdue",TODAY()-E379,"")</f>
        <v/>
      </c>
    </row>
    <row r="380">
      <c r="A380" s="16" t="n"/>
      <c r="B380" s="16" t="n"/>
      <c r="C380" s="16" t="n"/>
      <c r="D380" s="18" t="n"/>
      <c r="E380" s="19">
        <f>IF(D380="","",D380+Settings!$B$5)</f>
        <v/>
      </c>
      <c r="F380" s="20" t="n"/>
      <c r="G380" s="18" t="n"/>
      <c r="H380" s="12">
        <f>IF(F380="","",IF(G380&lt;&gt;"","Paid",IF(E380="","Sent",IF(E380&lt;TODAY(),"Overdue","Sent"))))</f>
        <v/>
      </c>
      <c r="I380" s="12">
        <f>IF(H380="Overdue",TODAY()-E380,"")</f>
        <v/>
      </c>
    </row>
    <row r="381">
      <c r="A381" s="16" t="n"/>
      <c r="B381" s="16" t="n"/>
      <c r="C381" s="16" t="n"/>
      <c r="D381" s="18" t="n"/>
      <c r="E381" s="19">
        <f>IF(D381="","",D381+Settings!$B$5)</f>
        <v/>
      </c>
      <c r="F381" s="20" t="n"/>
      <c r="G381" s="18" t="n"/>
      <c r="H381" s="12">
        <f>IF(F381="","",IF(G381&lt;&gt;"","Paid",IF(E381="","Sent",IF(E381&lt;TODAY(),"Overdue","Sent"))))</f>
        <v/>
      </c>
      <c r="I381" s="12">
        <f>IF(H381="Overdue",TODAY()-E381,"")</f>
        <v/>
      </c>
    </row>
    <row r="382">
      <c r="A382" s="16" t="n"/>
      <c r="B382" s="16" t="n"/>
      <c r="C382" s="16" t="n"/>
      <c r="D382" s="18" t="n"/>
      <c r="E382" s="19">
        <f>IF(D382="","",D382+Settings!$B$5)</f>
        <v/>
      </c>
      <c r="F382" s="20" t="n"/>
      <c r="G382" s="18" t="n"/>
      <c r="H382" s="12">
        <f>IF(F382="","",IF(G382&lt;&gt;"","Paid",IF(E382="","Sent",IF(E382&lt;TODAY(),"Overdue","Sent"))))</f>
        <v/>
      </c>
      <c r="I382" s="12">
        <f>IF(H382="Overdue",TODAY()-E382,"")</f>
        <v/>
      </c>
    </row>
    <row r="383">
      <c r="A383" s="16" t="n"/>
      <c r="B383" s="16" t="n"/>
      <c r="C383" s="16" t="n"/>
      <c r="D383" s="18" t="n"/>
      <c r="E383" s="19">
        <f>IF(D383="","",D383+Settings!$B$5)</f>
        <v/>
      </c>
      <c r="F383" s="20" t="n"/>
      <c r="G383" s="18" t="n"/>
      <c r="H383" s="12">
        <f>IF(F383="","",IF(G383&lt;&gt;"","Paid",IF(E383="","Sent",IF(E383&lt;TODAY(),"Overdue","Sent"))))</f>
        <v/>
      </c>
      <c r="I383" s="12">
        <f>IF(H383="Overdue",TODAY()-E383,"")</f>
        <v/>
      </c>
    </row>
    <row r="384">
      <c r="A384" s="16" t="n"/>
      <c r="B384" s="16" t="n"/>
      <c r="C384" s="16" t="n"/>
      <c r="D384" s="18" t="n"/>
      <c r="E384" s="19">
        <f>IF(D384="","",D384+Settings!$B$5)</f>
        <v/>
      </c>
      <c r="F384" s="20" t="n"/>
      <c r="G384" s="18" t="n"/>
      <c r="H384" s="12">
        <f>IF(F384="","",IF(G384&lt;&gt;"","Paid",IF(E384="","Sent",IF(E384&lt;TODAY(),"Overdue","Sent"))))</f>
        <v/>
      </c>
      <c r="I384" s="12">
        <f>IF(H384="Overdue",TODAY()-E384,"")</f>
        <v/>
      </c>
    </row>
    <row r="385">
      <c r="A385" s="16" t="n"/>
      <c r="B385" s="16" t="n"/>
      <c r="C385" s="16" t="n"/>
      <c r="D385" s="18" t="n"/>
      <c r="E385" s="19">
        <f>IF(D385="","",D385+Settings!$B$5)</f>
        <v/>
      </c>
      <c r="F385" s="20" t="n"/>
      <c r="G385" s="18" t="n"/>
      <c r="H385" s="12">
        <f>IF(F385="","",IF(G385&lt;&gt;"","Paid",IF(E385="","Sent",IF(E385&lt;TODAY(),"Overdue","Sent"))))</f>
        <v/>
      </c>
      <c r="I385" s="12">
        <f>IF(H385="Overdue",TODAY()-E385,"")</f>
        <v/>
      </c>
    </row>
    <row r="386">
      <c r="A386" s="16" t="n"/>
      <c r="B386" s="16" t="n"/>
      <c r="C386" s="16" t="n"/>
      <c r="D386" s="18" t="n"/>
      <c r="E386" s="19">
        <f>IF(D386="","",D386+Settings!$B$5)</f>
        <v/>
      </c>
      <c r="F386" s="20" t="n"/>
      <c r="G386" s="18" t="n"/>
      <c r="H386" s="12">
        <f>IF(F386="","",IF(G386&lt;&gt;"","Paid",IF(E386="","Sent",IF(E386&lt;TODAY(),"Overdue","Sent"))))</f>
        <v/>
      </c>
      <c r="I386" s="12">
        <f>IF(H386="Overdue",TODAY()-E386,"")</f>
        <v/>
      </c>
    </row>
    <row r="387">
      <c r="A387" s="16" t="n"/>
      <c r="B387" s="16" t="n"/>
      <c r="C387" s="16" t="n"/>
      <c r="D387" s="18" t="n"/>
      <c r="E387" s="19">
        <f>IF(D387="","",D387+Settings!$B$5)</f>
        <v/>
      </c>
      <c r="F387" s="20" t="n"/>
      <c r="G387" s="18" t="n"/>
      <c r="H387" s="12">
        <f>IF(F387="","",IF(G387&lt;&gt;"","Paid",IF(E387="","Sent",IF(E387&lt;TODAY(),"Overdue","Sent"))))</f>
        <v/>
      </c>
      <c r="I387" s="12">
        <f>IF(H387="Overdue",TODAY()-E387,"")</f>
        <v/>
      </c>
    </row>
    <row r="388">
      <c r="A388" s="16" t="n"/>
      <c r="B388" s="16" t="n"/>
      <c r="C388" s="16" t="n"/>
      <c r="D388" s="18" t="n"/>
      <c r="E388" s="19">
        <f>IF(D388="","",D388+Settings!$B$5)</f>
        <v/>
      </c>
      <c r="F388" s="20" t="n"/>
      <c r="G388" s="18" t="n"/>
      <c r="H388" s="12">
        <f>IF(F388="","",IF(G388&lt;&gt;"","Paid",IF(E388="","Sent",IF(E388&lt;TODAY(),"Overdue","Sent"))))</f>
        <v/>
      </c>
      <c r="I388" s="12">
        <f>IF(H388="Overdue",TODAY()-E388,"")</f>
        <v/>
      </c>
    </row>
    <row r="389">
      <c r="A389" s="16" t="n"/>
      <c r="B389" s="16" t="n"/>
      <c r="C389" s="16" t="n"/>
      <c r="D389" s="18" t="n"/>
      <c r="E389" s="19">
        <f>IF(D389="","",D389+Settings!$B$5)</f>
        <v/>
      </c>
      <c r="F389" s="20" t="n"/>
      <c r="G389" s="18" t="n"/>
      <c r="H389" s="12">
        <f>IF(F389="","",IF(G389&lt;&gt;"","Paid",IF(E389="","Sent",IF(E389&lt;TODAY(),"Overdue","Sent"))))</f>
        <v/>
      </c>
      <c r="I389" s="12">
        <f>IF(H389="Overdue",TODAY()-E389,"")</f>
        <v/>
      </c>
    </row>
    <row r="390">
      <c r="A390" s="16" t="n"/>
      <c r="B390" s="16" t="n"/>
      <c r="C390" s="16" t="n"/>
      <c r="D390" s="18" t="n"/>
      <c r="E390" s="19">
        <f>IF(D390="","",D390+Settings!$B$5)</f>
        <v/>
      </c>
      <c r="F390" s="20" t="n"/>
      <c r="G390" s="18" t="n"/>
      <c r="H390" s="12">
        <f>IF(F390="","",IF(G390&lt;&gt;"","Paid",IF(E390="","Sent",IF(E390&lt;TODAY(),"Overdue","Sent"))))</f>
        <v/>
      </c>
      <c r="I390" s="12">
        <f>IF(H390="Overdue",TODAY()-E390,"")</f>
        <v/>
      </c>
    </row>
    <row r="391">
      <c r="A391" s="16" t="n"/>
      <c r="B391" s="16" t="n"/>
      <c r="C391" s="16" t="n"/>
      <c r="D391" s="18" t="n"/>
      <c r="E391" s="19">
        <f>IF(D391="","",D391+Settings!$B$5)</f>
        <v/>
      </c>
      <c r="F391" s="20" t="n"/>
      <c r="G391" s="18" t="n"/>
      <c r="H391" s="12">
        <f>IF(F391="","",IF(G391&lt;&gt;"","Paid",IF(E391="","Sent",IF(E391&lt;TODAY(),"Overdue","Sent"))))</f>
        <v/>
      </c>
      <c r="I391" s="12">
        <f>IF(H391="Overdue",TODAY()-E391,"")</f>
        <v/>
      </c>
    </row>
    <row r="392">
      <c r="A392" s="16" t="n"/>
      <c r="B392" s="16" t="n"/>
      <c r="C392" s="16" t="n"/>
      <c r="D392" s="18" t="n"/>
      <c r="E392" s="19">
        <f>IF(D392="","",D392+Settings!$B$5)</f>
        <v/>
      </c>
      <c r="F392" s="20" t="n"/>
      <c r="G392" s="18" t="n"/>
      <c r="H392" s="12">
        <f>IF(F392="","",IF(G392&lt;&gt;"","Paid",IF(E392="","Sent",IF(E392&lt;TODAY(),"Overdue","Sent"))))</f>
        <v/>
      </c>
      <c r="I392" s="12">
        <f>IF(H392="Overdue",TODAY()-E392,"")</f>
        <v/>
      </c>
    </row>
    <row r="393">
      <c r="A393" s="16" t="n"/>
      <c r="B393" s="16" t="n"/>
      <c r="C393" s="16" t="n"/>
      <c r="D393" s="18" t="n"/>
      <c r="E393" s="19">
        <f>IF(D393="","",D393+Settings!$B$5)</f>
        <v/>
      </c>
      <c r="F393" s="20" t="n"/>
      <c r="G393" s="18" t="n"/>
      <c r="H393" s="12">
        <f>IF(F393="","",IF(G393&lt;&gt;"","Paid",IF(E393="","Sent",IF(E393&lt;TODAY(),"Overdue","Sent"))))</f>
        <v/>
      </c>
      <c r="I393" s="12">
        <f>IF(H393="Overdue",TODAY()-E393,"")</f>
        <v/>
      </c>
    </row>
    <row r="394">
      <c r="A394" s="16" t="n"/>
      <c r="B394" s="16" t="n"/>
      <c r="C394" s="16" t="n"/>
      <c r="D394" s="18" t="n"/>
      <c r="E394" s="19">
        <f>IF(D394="","",D394+Settings!$B$5)</f>
        <v/>
      </c>
      <c r="F394" s="20" t="n"/>
      <c r="G394" s="18" t="n"/>
      <c r="H394" s="12">
        <f>IF(F394="","",IF(G394&lt;&gt;"","Paid",IF(E394="","Sent",IF(E394&lt;TODAY(),"Overdue","Sent"))))</f>
        <v/>
      </c>
      <c r="I394" s="12">
        <f>IF(H394="Overdue",TODAY()-E394,"")</f>
        <v/>
      </c>
    </row>
    <row r="395">
      <c r="A395" s="16" t="n"/>
      <c r="B395" s="16" t="n"/>
      <c r="C395" s="16" t="n"/>
      <c r="D395" s="18" t="n"/>
      <c r="E395" s="19">
        <f>IF(D395="","",D395+Settings!$B$5)</f>
        <v/>
      </c>
      <c r="F395" s="20" t="n"/>
      <c r="G395" s="18" t="n"/>
      <c r="H395" s="12">
        <f>IF(F395="","",IF(G395&lt;&gt;"","Paid",IF(E395="","Sent",IF(E395&lt;TODAY(),"Overdue","Sent"))))</f>
        <v/>
      </c>
      <c r="I395" s="12">
        <f>IF(H395="Overdue",TODAY()-E395,"")</f>
        <v/>
      </c>
    </row>
    <row r="396">
      <c r="A396" s="16" t="n"/>
      <c r="B396" s="16" t="n"/>
      <c r="C396" s="16" t="n"/>
      <c r="D396" s="18" t="n"/>
      <c r="E396" s="19">
        <f>IF(D396="","",D396+Settings!$B$5)</f>
        <v/>
      </c>
      <c r="F396" s="20" t="n"/>
      <c r="G396" s="18" t="n"/>
      <c r="H396" s="12">
        <f>IF(F396="","",IF(G396&lt;&gt;"","Paid",IF(E396="","Sent",IF(E396&lt;TODAY(),"Overdue","Sent"))))</f>
        <v/>
      </c>
      <c r="I396" s="12">
        <f>IF(H396="Overdue",TODAY()-E396,"")</f>
        <v/>
      </c>
    </row>
    <row r="397">
      <c r="A397" s="16" t="n"/>
      <c r="B397" s="16" t="n"/>
      <c r="C397" s="16" t="n"/>
      <c r="D397" s="18" t="n"/>
      <c r="E397" s="19">
        <f>IF(D397="","",D397+Settings!$B$5)</f>
        <v/>
      </c>
      <c r="F397" s="20" t="n"/>
      <c r="G397" s="18" t="n"/>
      <c r="H397" s="12">
        <f>IF(F397="","",IF(G397&lt;&gt;"","Paid",IF(E397="","Sent",IF(E397&lt;TODAY(),"Overdue","Sent"))))</f>
        <v/>
      </c>
      <c r="I397" s="12">
        <f>IF(H397="Overdue",TODAY()-E397,"")</f>
        <v/>
      </c>
    </row>
    <row r="398">
      <c r="A398" s="16" t="n"/>
      <c r="B398" s="16" t="n"/>
      <c r="C398" s="16" t="n"/>
      <c r="D398" s="18" t="n"/>
      <c r="E398" s="19">
        <f>IF(D398="","",D398+Settings!$B$5)</f>
        <v/>
      </c>
      <c r="F398" s="20" t="n"/>
      <c r="G398" s="18" t="n"/>
      <c r="H398" s="12">
        <f>IF(F398="","",IF(G398&lt;&gt;"","Paid",IF(E398="","Sent",IF(E398&lt;TODAY(),"Overdue","Sent"))))</f>
        <v/>
      </c>
      <c r="I398" s="12">
        <f>IF(H398="Overdue",TODAY()-E398,"")</f>
        <v/>
      </c>
    </row>
    <row r="399">
      <c r="A399" s="16" t="n"/>
      <c r="B399" s="16" t="n"/>
      <c r="C399" s="16" t="n"/>
      <c r="D399" s="18" t="n"/>
      <c r="E399" s="19">
        <f>IF(D399="","",D399+Settings!$B$5)</f>
        <v/>
      </c>
      <c r="F399" s="20" t="n"/>
      <c r="G399" s="18" t="n"/>
      <c r="H399" s="12">
        <f>IF(F399="","",IF(G399&lt;&gt;"","Paid",IF(E399="","Sent",IF(E399&lt;TODAY(),"Overdue","Sent"))))</f>
        <v/>
      </c>
      <c r="I399" s="12">
        <f>IF(H399="Overdue",TODAY()-E399,"")</f>
        <v/>
      </c>
    </row>
    <row r="400">
      <c r="A400" s="16" t="n"/>
      <c r="B400" s="16" t="n"/>
      <c r="C400" s="16" t="n"/>
      <c r="D400" s="18" t="n"/>
      <c r="E400" s="19">
        <f>IF(D400="","",D400+Settings!$B$5)</f>
        <v/>
      </c>
      <c r="F400" s="20" t="n"/>
      <c r="G400" s="18" t="n"/>
      <c r="H400" s="12">
        <f>IF(F400="","",IF(G400&lt;&gt;"","Paid",IF(E400="","Sent",IF(E400&lt;TODAY(),"Overdue","Sent"))))</f>
        <v/>
      </c>
      <c r="I400" s="12">
        <f>IF(H400="Overdue",TODAY()-E400,"")</f>
        <v/>
      </c>
    </row>
    <row r="401">
      <c r="A401" s="16" t="n"/>
      <c r="B401" s="16" t="n"/>
      <c r="C401" s="16" t="n"/>
      <c r="D401" s="18" t="n"/>
      <c r="E401" s="19">
        <f>IF(D401="","",D401+Settings!$B$5)</f>
        <v/>
      </c>
      <c r="F401" s="20" t="n"/>
      <c r="G401" s="18" t="n"/>
      <c r="H401" s="12">
        <f>IF(F401="","",IF(G401&lt;&gt;"","Paid",IF(E401="","Sent",IF(E401&lt;TODAY(),"Overdue","Sent"))))</f>
        <v/>
      </c>
      <c r="I401" s="12">
        <f>IF(H401="Overdue",TODAY()-E401,"")</f>
        <v/>
      </c>
    </row>
    <row r="402">
      <c r="A402" s="16" t="n"/>
      <c r="B402" s="16" t="n"/>
      <c r="C402" s="16" t="n"/>
      <c r="D402" s="18" t="n"/>
      <c r="E402" s="19">
        <f>IF(D402="","",D402+Settings!$B$5)</f>
        <v/>
      </c>
      <c r="F402" s="20" t="n"/>
      <c r="G402" s="18" t="n"/>
      <c r="H402" s="12">
        <f>IF(F402="","",IF(G402&lt;&gt;"","Paid",IF(E402="","Sent",IF(E402&lt;TODAY(),"Overdue","Sent"))))</f>
        <v/>
      </c>
      <c r="I402" s="12">
        <f>IF(H402="Overdue",TODAY()-E402,"")</f>
        <v/>
      </c>
    </row>
    <row r="403">
      <c r="A403" s="16" t="n"/>
      <c r="B403" s="16" t="n"/>
      <c r="C403" s="16" t="n"/>
      <c r="D403" s="18" t="n"/>
      <c r="E403" s="19">
        <f>IF(D403="","",D403+Settings!$B$5)</f>
        <v/>
      </c>
      <c r="F403" s="20" t="n"/>
      <c r="G403" s="18" t="n"/>
      <c r="H403" s="12">
        <f>IF(F403="","",IF(G403&lt;&gt;"","Paid",IF(E403="","Sent",IF(E403&lt;TODAY(),"Overdue","Sent"))))</f>
        <v/>
      </c>
      <c r="I403" s="12">
        <f>IF(H403="Overdue",TODAY()-E403,"")</f>
        <v/>
      </c>
    </row>
    <row r="404">
      <c r="A404" s="16" t="n"/>
      <c r="B404" s="16" t="n"/>
      <c r="C404" s="16" t="n"/>
      <c r="D404" s="18" t="n"/>
      <c r="E404" s="19">
        <f>IF(D404="","",D404+Settings!$B$5)</f>
        <v/>
      </c>
      <c r="F404" s="20" t="n"/>
      <c r="G404" s="18" t="n"/>
      <c r="H404" s="12">
        <f>IF(F404="","",IF(G404&lt;&gt;"","Paid",IF(E404="","Sent",IF(E404&lt;TODAY(),"Overdue","Sent"))))</f>
        <v/>
      </c>
      <c r="I404" s="12">
        <f>IF(H404="Overdue",TODAY()-E404,"")</f>
        <v/>
      </c>
    </row>
    <row r="405">
      <c r="A405" s="16" t="n"/>
      <c r="B405" s="16" t="n"/>
      <c r="C405" s="16" t="n"/>
      <c r="D405" s="18" t="n"/>
      <c r="E405" s="19">
        <f>IF(D405="","",D405+Settings!$B$5)</f>
        <v/>
      </c>
      <c r="F405" s="20" t="n"/>
      <c r="G405" s="18" t="n"/>
      <c r="H405" s="12">
        <f>IF(F405="","",IF(G405&lt;&gt;"","Paid",IF(E405="","Sent",IF(E405&lt;TODAY(),"Overdue","Sent"))))</f>
        <v/>
      </c>
      <c r="I405" s="12">
        <f>IF(H405="Overdue",TODAY()-E405,"")</f>
        <v/>
      </c>
    </row>
    <row r="406">
      <c r="A406" s="16" t="n"/>
      <c r="B406" s="16" t="n"/>
      <c r="C406" s="16" t="n"/>
      <c r="D406" s="18" t="n"/>
      <c r="E406" s="19">
        <f>IF(D406="","",D406+Settings!$B$5)</f>
        <v/>
      </c>
      <c r="F406" s="20" t="n"/>
      <c r="G406" s="18" t="n"/>
      <c r="H406" s="12">
        <f>IF(F406="","",IF(G406&lt;&gt;"","Paid",IF(E406="","Sent",IF(E406&lt;TODAY(),"Overdue","Sent"))))</f>
        <v/>
      </c>
      <c r="I406" s="12">
        <f>IF(H406="Overdue",TODAY()-E406,"")</f>
        <v/>
      </c>
    </row>
    <row r="407">
      <c r="A407" s="16" t="n"/>
      <c r="B407" s="16" t="n"/>
      <c r="C407" s="16" t="n"/>
      <c r="D407" s="18" t="n"/>
      <c r="E407" s="19">
        <f>IF(D407="","",D407+Settings!$B$5)</f>
        <v/>
      </c>
      <c r="F407" s="20" t="n"/>
      <c r="G407" s="18" t="n"/>
      <c r="H407" s="12">
        <f>IF(F407="","",IF(G407&lt;&gt;"","Paid",IF(E407="","Sent",IF(E407&lt;TODAY(),"Overdue","Sent"))))</f>
        <v/>
      </c>
      <c r="I407" s="12">
        <f>IF(H407="Overdue",TODAY()-E407,"")</f>
        <v/>
      </c>
    </row>
    <row r="408">
      <c r="A408" s="16" t="n"/>
      <c r="B408" s="16" t="n"/>
      <c r="C408" s="16" t="n"/>
      <c r="D408" s="18" t="n"/>
      <c r="E408" s="19">
        <f>IF(D408="","",D408+Settings!$B$5)</f>
        <v/>
      </c>
      <c r="F408" s="20" t="n"/>
      <c r="G408" s="18" t="n"/>
      <c r="H408" s="12">
        <f>IF(F408="","",IF(G408&lt;&gt;"","Paid",IF(E408="","Sent",IF(E408&lt;TODAY(),"Overdue","Sent"))))</f>
        <v/>
      </c>
      <c r="I408" s="12">
        <f>IF(H408="Overdue",TODAY()-E408,"")</f>
        <v/>
      </c>
    </row>
    <row r="409">
      <c r="A409" s="16" t="n"/>
      <c r="B409" s="16" t="n"/>
      <c r="C409" s="16" t="n"/>
      <c r="D409" s="18" t="n"/>
      <c r="E409" s="19">
        <f>IF(D409="","",D409+Settings!$B$5)</f>
        <v/>
      </c>
      <c r="F409" s="20" t="n"/>
      <c r="G409" s="18" t="n"/>
      <c r="H409" s="12">
        <f>IF(F409="","",IF(G409&lt;&gt;"","Paid",IF(E409="","Sent",IF(E409&lt;TODAY(),"Overdue","Sent"))))</f>
        <v/>
      </c>
      <c r="I409" s="12">
        <f>IF(H409="Overdue",TODAY()-E409,"")</f>
        <v/>
      </c>
    </row>
    <row r="410">
      <c r="A410" s="16" t="n"/>
      <c r="B410" s="16" t="n"/>
      <c r="C410" s="16" t="n"/>
      <c r="D410" s="18" t="n"/>
      <c r="E410" s="19">
        <f>IF(D410="","",D410+Settings!$B$5)</f>
        <v/>
      </c>
      <c r="F410" s="20" t="n"/>
      <c r="G410" s="18" t="n"/>
      <c r="H410" s="12">
        <f>IF(F410="","",IF(G410&lt;&gt;"","Paid",IF(E410="","Sent",IF(E410&lt;TODAY(),"Overdue","Sent"))))</f>
        <v/>
      </c>
      <c r="I410" s="12">
        <f>IF(H410="Overdue",TODAY()-E410,"")</f>
        <v/>
      </c>
    </row>
    <row r="411">
      <c r="A411" s="16" t="n"/>
      <c r="B411" s="16" t="n"/>
      <c r="C411" s="16" t="n"/>
      <c r="D411" s="18" t="n"/>
      <c r="E411" s="19">
        <f>IF(D411="","",D411+Settings!$B$5)</f>
        <v/>
      </c>
      <c r="F411" s="20" t="n"/>
      <c r="G411" s="18" t="n"/>
      <c r="H411" s="12">
        <f>IF(F411="","",IF(G411&lt;&gt;"","Paid",IF(E411="","Sent",IF(E411&lt;TODAY(),"Overdue","Sent"))))</f>
        <v/>
      </c>
      <c r="I411" s="12">
        <f>IF(H411="Overdue",TODAY()-E411,"")</f>
        <v/>
      </c>
    </row>
    <row r="412">
      <c r="A412" s="16" t="n"/>
      <c r="B412" s="16" t="n"/>
      <c r="C412" s="16" t="n"/>
      <c r="D412" s="18" t="n"/>
      <c r="E412" s="19">
        <f>IF(D412="","",D412+Settings!$B$5)</f>
        <v/>
      </c>
      <c r="F412" s="20" t="n"/>
      <c r="G412" s="18" t="n"/>
      <c r="H412" s="12">
        <f>IF(F412="","",IF(G412&lt;&gt;"","Paid",IF(E412="","Sent",IF(E412&lt;TODAY(),"Overdue","Sent"))))</f>
        <v/>
      </c>
      <c r="I412" s="12">
        <f>IF(H412="Overdue",TODAY()-E412,"")</f>
        <v/>
      </c>
    </row>
    <row r="413">
      <c r="A413" s="16" t="n"/>
      <c r="B413" s="16" t="n"/>
      <c r="C413" s="16" t="n"/>
      <c r="D413" s="18" t="n"/>
      <c r="E413" s="19">
        <f>IF(D413="","",D413+Settings!$B$5)</f>
        <v/>
      </c>
      <c r="F413" s="20" t="n"/>
      <c r="G413" s="18" t="n"/>
      <c r="H413" s="12">
        <f>IF(F413="","",IF(G413&lt;&gt;"","Paid",IF(E413="","Sent",IF(E413&lt;TODAY(),"Overdue","Sent"))))</f>
        <v/>
      </c>
      <c r="I413" s="12">
        <f>IF(H413="Overdue",TODAY()-E413,"")</f>
        <v/>
      </c>
    </row>
    <row r="414">
      <c r="A414" s="16" t="n"/>
      <c r="B414" s="16" t="n"/>
      <c r="C414" s="16" t="n"/>
      <c r="D414" s="18" t="n"/>
      <c r="E414" s="19">
        <f>IF(D414="","",D414+Settings!$B$5)</f>
        <v/>
      </c>
      <c r="F414" s="20" t="n"/>
      <c r="G414" s="18" t="n"/>
      <c r="H414" s="12">
        <f>IF(F414="","",IF(G414&lt;&gt;"","Paid",IF(E414="","Sent",IF(E414&lt;TODAY(),"Overdue","Sent"))))</f>
        <v/>
      </c>
      <c r="I414" s="12">
        <f>IF(H414="Overdue",TODAY()-E414,"")</f>
        <v/>
      </c>
    </row>
    <row r="415">
      <c r="A415" s="16" t="n"/>
      <c r="B415" s="16" t="n"/>
      <c r="C415" s="16" t="n"/>
      <c r="D415" s="18" t="n"/>
      <c r="E415" s="19">
        <f>IF(D415="","",D415+Settings!$B$5)</f>
        <v/>
      </c>
      <c r="F415" s="20" t="n"/>
      <c r="G415" s="18" t="n"/>
      <c r="H415" s="12">
        <f>IF(F415="","",IF(G415&lt;&gt;"","Paid",IF(E415="","Sent",IF(E415&lt;TODAY(),"Overdue","Sent"))))</f>
        <v/>
      </c>
      <c r="I415" s="12">
        <f>IF(H415="Overdue",TODAY()-E415,"")</f>
        <v/>
      </c>
    </row>
    <row r="416">
      <c r="A416" s="16" t="n"/>
      <c r="B416" s="16" t="n"/>
      <c r="C416" s="16" t="n"/>
      <c r="D416" s="18" t="n"/>
      <c r="E416" s="19">
        <f>IF(D416="","",D416+Settings!$B$5)</f>
        <v/>
      </c>
      <c r="F416" s="20" t="n"/>
      <c r="G416" s="18" t="n"/>
      <c r="H416" s="12">
        <f>IF(F416="","",IF(G416&lt;&gt;"","Paid",IF(E416="","Sent",IF(E416&lt;TODAY(),"Overdue","Sent"))))</f>
        <v/>
      </c>
      <c r="I416" s="12">
        <f>IF(H416="Overdue",TODAY()-E416,"")</f>
        <v/>
      </c>
    </row>
    <row r="417">
      <c r="A417" s="16" t="n"/>
      <c r="B417" s="16" t="n"/>
      <c r="C417" s="16" t="n"/>
      <c r="D417" s="18" t="n"/>
      <c r="E417" s="19">
        <f>IF(D417="","",D417+Settings!$B$5)</f>
        <v/>
      </c>
      <c r="F417" s="20" t="n"/>
      <c r="G417" s="18" t="n"/>
      <c r="H417" s="12">
        <f>IF(F417="","",IF(G417&lt;&gt;"","Paid",IF(E417="","Sent",IF(E417&lt;TODAY(),"Overdue","Sent"))))</f>
        <v/>
      </c>
      <c r="I417" s="12">
        <f>IF(H417="Overdue",TODAY()-E417,"")</f>
        <v/>
      </c>
    </row>
    <row r="418">
      <c r="A418" s="16" t="n"/>
      <c r="B418" s="16" t="n"/>
      <c r="C418" s="16" t="n"/>
      <c r="D418" s="18" t="n"/>
      <c r="E418" s="19">
        <f>IF(D418="","",D418+Settings!$B$5)</f>
        <v/>
      </c>
      <c r="F418" s="20" t="n"/>
      <c r="G418" s="18" t="n"/>
      <c r="H418" s="12">
        <f>IF(F418="","",IF(G418&lt;&gt;"","Paid",IF(E418="","Sent",IF(E418&lt;TODAY(),"Overdue","Sent"))))</f>
        <v/>
      </c>
      <c r="I418" s="12">
        <f>IF(H418="Overdue",TODAY()-E418,"")</f>
        <v/>
      </c>
    </row>
    <row r="419">
      <c r="A419" s="16" t="n"/>
      <c r="B419" s="16" t="n"/>
      <c r="C419" s="16" t="n"/>
      <c r="D419" s="18" t="n"/>
      <c r="E419" s="19">
        <f>IF(D419="","",D419+Settings!$B$5)</f>
        <v/>
      </c>
      <c r="F419" s="20" t="n"/>
      <c r="G419" s="18" t="n"/>
      <c r="H419" s="12">
        <f>IF(F419="","",IF(G419&lt;&gt;"","Paid",IF(E419="","Sent",IF(E419&lt;TODAY(),"Overdue","Sent"))))</f>
        <v/>
      </c>
      <c r="I419" s="12">
        <f>IF(H419="Overdue",TODAY()-E419,"")</f>
        <v/>
      </c>
    </row>
    <row r="420">
      <c r="A420" s="16" t="n"/>
      <c r="B420" s="16" t="n"/>
      <c r="C420" s="16" t="n"/>
      <c r="D420" s="18" t="n"/>
      <c r="E420" s="19">
        <f>IF(D420="","",D420+Settings!$B$5)</f>
        <v/>
      </c>
      <c r="F420" s="20" t="n"/>
      <c r="G420" s="18" t="n"/>
      <c r="H420" s="12">
        <f>IF(F420="","",IF(G420&lt;&gt;"","Paid",IF(E420="","Sent",IF(E420&lt;TODAY(),"Overdue","Sent"))))</f>
        <v/>
      </c>
      <c r="I420" s="12">
        <f>IF(H420="Overdue",TODAY()-E420,"")</f>
        <v/>
      </c>
    </row>
    <row r="421">
      <c r="A421" s="16" t="n"/>
      <c r="B421" s="16" t="n"/>
      <c r="C421" s="16" t="n"/>
      <c r="D421" s="18" t="n"/>
      <c r="E421" s="19">
        <f>IF(D421="","",D421+Settings!$B$5)</f>
        <v/>
      </c>
      <c r="F421" s="20" t="n"/>
      <c r="G421" s="18" t="n"/>
      <c r="H421" s="12">
        <f>IF(F421="","",IF(G421&lt;&gt;"","Paid",IF(E421="","Sent",IF(E421&lt;TODAY(),"Overdue","Sent"))))</f>
        <v/>
      </c>
      <c r="I421" s="12">
        <f>IF(H421="Overdue",TODAY()-E421,"")</f>
        <v/>
      </c>
    </row>
    <row r="422">
      <c r="A422" s="16" t="n"/>
      <c r="B422" s="16" t="n"/>
      <c r="C422" s="16" t="n"/>
      <c r="D422" s="18" t="n"/>
      <c r="E422" s="19">
        <f>IF(D422="","",D422+Settings!$B$5)</f>
        <v/>
      </c>
      <c r="F422" s="20" t="n"/>
      <c r="G422" s="18" t="n"/>
      <c r="H422" s="12">
        <f>IF(F422="","",IF(G422&lt;&gt;"","Paid",IF(E422="","Sent",IF(E422&lt;TODAY(),"Overdue","Sent"))))</f>
        <v/>
      </c>
      <c r="I422" s="12">
        <f>IF(H422="Overdue",TODAY()-E422,"")</f>
        <v/>
      </c>
    </row>
    <row r="423">
      <c r="A423" s="16" t="n"/>
      <c r="B423" s="16" t="n"/>
      <c r="C423" s="16" t="n"/>
      <c r="D423" s="18" t="n"/>
      <c r="E423" s="19">
        <f>IF(D423="","",D423+Settings!$B$5)</f>
        <v/>
      </c>
      <c r="F423" s="20" t="n"/>
      <c r="G423" s="18" t="n"/>
      <c r="H423" s="12">
        <f>IF(F423="","",IF(G423&lt;&gt;"","Paid",IF(E423="","Sent",IF(E423&lt;TODAY(),"Overdue","Sent"))))</f>
        <v/>
      </c>
      <c r="I423" s="12">
        <f>IF(H423="Overdue",TODAY()-E423,"")</f>
        <v/>
      </c>
    </row>
    <row r="424">
      <c r="A424" s="16" t="n"/>
      <c r="B424" s="16" t="n"/>
      <c r="C424" s="16" t="n"/>
      <c r="D424" s="18" t="n"/>
      <c r="E424" s="19">
        <f>IF(D424="","",D424+Settings!$B$5)</f>
        <v/>
      </c>
      <c r="F424" s="20" t="n"/>
      <c r="G424" s="18" t="n"/>
      <c r="H424" s="12">
        <f>IF(F424="","",IF(G424&lt;&gt;"","Paid",IF(E424="","Sent",IF(E424&lt;TODAY(),"Overdue","Sent"))))</f>
        <v/>
      </c>
      <c r="I424" s="12">
        <f>IF(H424="Overdue",TODAY()-E424,"")</f>
        <v/>
      </c>
    </row>
    <row r="425">
      <c r="A425" s="16" t="n"/>
      <c r="B425" s="16" t="n"/>
      <c r="C425" s="16" t="n"/>
      <c r="D425" s="18" t="n"/>
      <c r="E425" s="19">
        <f>IF(D425="","",D425+Settings!$B$5)</f>
        <v/>
      </c>
      <c r="F425" s="20" t="n"/>
      <c r="G425" s="18" t="n"/>
      <c r="H425" s="12">
        <f>IF(F425="","",IF(G425&lt;&gt;"","Paid",IF(E425="","Sent",IF(E425&lt;TODAY(),"Overdue","Sent"))))</f>
        <v/>
      </c>
      <c r="I425" s="12">
        <f>IF(H425="Overdue",TODAY()-E425,"")</f>
        <v/>
      </c>
    </row>
    <row r="426">
      <c r="A426" s="16" t="n"/>
      <c r="B426" s="16" t="n"/>
      <c r="C426" s="16" t="n"/>
      <c r="D426" s="18" t="n"/>
      <c r="E426" s="19">
        <f>IF(D426="","",D426+Settings!$B$5)</f>
        <v/>
      </c>
      <c r="F426" s="20" t="n"/>
      <c r="G426" s="18" t="n"/>
      <c r="H426" s="12">
        <f>IF(F426="","",IF(G426&lt;&gt;"","Paid",IF(E426="","Sent",IF(E426&lt;TODAY(),"Overdue","Sent"))))</f>
        <v/>
      </c>
      <c r="I426" s="12">
        <f>IF(H426="Overdue",TODAY()-E426,"")</f>
        <v/>
      </c>
    </row>
    <row r="427">
      <c r="A427" s="16" t="n"/>
      <c r="B427" s="16" t="n"/>
      <c r="C427" s="16" t="n"/>
      <c r="D427" s="18" t="n"/>
      <c r="E427" s="19">
        <f>IF(D427="","",D427+Settings!$B$5)</f>
        <v/>
      </c>
      <c r="F427" s="20" t="n"/>
      <c r="G427" s="18" t="n"/>
      <c r="H427" s="12">
        <f>IF(F427="","",IF(G427&lt;&gt;"","Paid",IF(E427="","Sent",IF(E427&lt;TODAY(),"Overdue","Sent"))))</f>
        <v/>
      </c>
      <c r="I427" s="12">
        <f>IF(H427="Overdue",TODAY()-E427,"")</f>
        <v/>
      </c>
    </row>
    <row r="428">
      <c r="A428" s="16" t="n"/>
      <c r="B428" s="16" t="n"/>
      <c r="C428" s="16" t="n"/>
      <c r="D428" s="18" t="n"/>
      <c r="E428" s="19">
        <f>IF(D428="","",D428+Settings!$B$5)</f>
        <v/>
      </c>
      <c r="F428" s="20" t="n"/>
      <c r="G428" s="18" t="n"/>
      <c r="H428" s="12">
        <f>IF(F428="","",IF(G428&lt;&gt;"","Paid",IF(E428="","Sent",IF(E428&lt;TODAY(),"Overdue","Sent"))))</f>
        <v/>
      </c>
      <c r="I428" s="12">
        <f>IF(H428="Overdue",TODAY()-E428,"")</f>
        <v/>
      </c>
    </row>
    <row r="429">
      <c r="A429" s="16" t="n"/>
      <c r="B429" s="16" t="n"/>
      <c r="C429" s="16" t="n"/>
      <c r="D429" s="18" t="n"/>
      <c r="E429" s="19">
        <f>IF(D429="","",D429+Settings!$B$5)</f>
        <v/>
      </c>
      <c r="F429" s="20" t="n"/>
      <c r="G429" s="18" t="n"/>
      <c r="H429" s="12">
        <f>IF(F429="","",IF(G429&lt;&gt;"","Paid",IF(E429="","Sent",IF(E429&lt;TODAY(),"Overdue","Sent"))))</f>
        <v/>
      </c>
      <c r="I429" s="12">
        <f>IF(H429="Overdue",TODAY()-E429,"")</f>
        <v/>
      </c>
    </row>
    <row r="430">
      <c r="A430" s="16" t="n"/>
      <c r="B430" s="16" t="n"/>
      <c r="C430" s="16" t="n"/>
      <c r="D430" s="18" t="n"/>
      <c r="E430" s="19">
        <f>IF(D430="","",D430+Settings!$B$5)</f>
        <v/>
      </c>
      <c r="F430" s="20" t="n"/>
      <c r="G430" s="18" t="n"/>
      <c r="H430" s="12">
        <f>IF(F430="","",IF(G430&lt;&gt;"","Paid",IF(E430="","Sent",IF(E430&lt;TODAY(),"Overdue","Sent"))))</f>
        <v/>
      </c>
      <c r="I430" s="12">
        <f>IF(H430="Overdue",TODAY()-E430,"")</f>
        <v/>
      </c>
    </row>
    <row r="431">
      <c r="A431" s="16" t="n"/>
      <c r="B431" s="16" t="n"/>
      <c r="C431" s="16" t="n"/>
      <c r="D431" s="18" t="n"/>
      <c r="E431" s="19">
        <f>IF(D431="","",D431+Settings!$B$5)</f>
        <v/>
      </c>
      <c r="F431" s="20" t="n"/>
      <c r="G431" s="18" t="n"/>
      <c r="H431" s="12">
        <f>IF(F431="","",IF(G431&lt;&gt;"","Paid",IF(E431="","Sent",IF(E431&lt;TODAY(),"Overdue","Sent"))))</f>
        <v/>
      </c>
      <c r="I431" s="12">
        <f>IF(H431="Overdue",TODAY()-E431,"")</f>
        <v/>
      </c>
    </row>
    <row r="432">
      <c r="A432" s="16" t="n"/>
      <c r="B432" s="16" t="n"/>
      <c r="C432" s="16" t="n"/>
      <c r="D432" s="18" t="n"/>
      <c r="E432" s="19">
        <f>IF(D432="","",D432+Settings!$B$5)</f>
        <v/>
      </c>
      <c r="F432" s="20" t="n"/>
      <c r="G432" s="18" t="n"/>
      <c r="H432" s="12">
        <f>IF(F432="","",IF(G432&lt;&gt;"","Paid",IF(E432="","Sent",IF(E432&lt;TODAY(),"Overdue","Sent"))))</f>
        <v/>
      </c>
      <c r="I432" s="12">
        <f>IF(H432="Overdue",TODAY()-E432,"")</f>
        <v/>
      </c>
    </row>
    <row r="433">
      <c r="A433" s="16" t="n"/>
      <c r="B433" s="16" t="n"/>
      <c r="C433" s="16" t="n"/>
      <c r="D433" s="18" t="n"/>
      <c r="E433" s="19">
        <f>IF(D433="","",D433+Settings!$B$5)</f>
        <v/>
      </c>
      <c r="F433" s="20" t="n"/>
      <c r="G433" s="18" t="n"/>
      <c r="H433" s="12">
        <f>IF(F433="","",IF(G433&lt;&gt;"","Paid",IF(E433="","Sent",IF(E433&lt;TODAY(),"Overdue","Sent"))))</f>
        <v/>
      </c>
      <c r="I433" s="12">
        <f>IF(H433="Overdue",TODAY()-E433,"")</f>
        <v/>
      </c>
    </row>
    <row r="434">
      <c r="A434" s="16" t="n"/>
      <c r="B434" s="16" t="n"/>
      <c r="C434" s="16" t="n"/>
      <c r="D434" s="18" t="n"/>
      <c r="E434" s="19">
        <f>IF(D434="","",D434+Settings!$B$5)</f>
        <v/>
      </c>
      <c r="F434" s="20" t="n"/>
      <c r="G434" s="18" t="n"/>
      <c r="H434" s="12">
        <f>IF(F434="","",IF(G434&lt;&gt;"","Paid",IF(E434="","Sent",IF(E434&lt;TODAY(),"Overdue","Sent"))))</f>
        <v/>
      </c>
      <c r="I434" s="12">
        <f>IF(H434="Overdue",TODAY()-E434,"")</f>
        <v/>
      </c>
    </row>
    <row r="435">
      <c r="A435" s="16" t="n"/>
      <c r="B435" s="16" t="n"/>
      <c r="C435" s="16" t="n"/>
      <c r="D435" s="18" t="n"/>
      <c r="E435" s="19">
        <f>IF(D435="","",D435+Settings!$B$5)</f>
        <v/>
      </c>
      <c r="F435" s="20" t="n"/>
      <c r="G435" s="18" t="n"/>
      <c r="H435" s="12">
        <f>IF(F435="","",IF(G435&lt;&gt;"","Paid",IF(E435="","Sent",IF(E435&lt;TODAY(),"Overdue","Sent"))))</f>
        <v/>
      </c>
      <c r="I435" s="12">
        <f>IF(H435="Overdue",TODAY()-E435,"")</f>
        <v/>
      </c>
    </row>
    <row r="436">
      <c r="A436" s="16" t="n"/>
      <c r="B436" s="16" t="n"/>
      <c r="C436" s="16" t="n"/>
      <c r="D436" s="18" t="n"/>
      <c r="E436" s="19">
        <f>IF(D436="","",D436+Settings!$B$5)</f>
        <v/>
      </c>
      <c r="F436" s="20" t="n"/>
      <c r="G436" s="18" t="n"/>
      <c r="H436" s="12">
        <f>IF(F436="","",IF(G436&lt;&gt;"","Paid",IF(E436="","Sent",IF(E436&lt;TODAY(),"Overdue","Sent"))))</f>
        <v/>
      </c>
      <c r="I436" s="12">
        <f>IF(H436="Overdue",TODAY()-E436,"")</f>
        <v/>
      </c>
    </row>
    <row r="437">
      <c r="A437" s="16" t="n"/>
      <c r="B437" s="16" t="n"/>
      <c r="C437" s="16" t="n"/>
      <c r="D437" s="18" t="n"/>
      <c r="E437" s="19">
        <f>IF(D437="","",D437+Settings!$B$5)</f>
        <v/>
      </c>
      <c r="F437" s="20" t="n"/>
      <c r="G437" s="18" t="n"/>
      <c r="H437" s="12">
        <f>IF(F437="","",IF(G437&lt;&gt;"","Paid",IF(E437="","Sent",IF(E437&lt;TODAY(),"Overdue","Sent"))))</f>
        <v/>
      </c>
      <c r="I437" s="12">
        <f>IF(H437="Overdue",TODAY()-E437,"")</f>
        <v/>
      </c>
    </row>
    <row r="438">
      <c r="A438" s="16" t="n"/>
      <c r="B438" s="16" t="n"/>
      <c r="C438" s="16" t="n"/>
      <c r="D438" s="18" t="n"/>
      <c r="E438" s="19">
        <f>IF(D438="","",D438+Settings!$B$5)</f>
        <v/>
      </c>
      <c r="F438" s="20" t="n"/>
      <c r="G438" s="18" t="n"/>
      <c r="H438" s="12">
        <f>IF(F438="","",IF(G438&lt;&gt;"","Paid",IF(E438="","Sent",IF(E438&lt;TODAY(),"Overdue","Sent"))))</f>
        <v/>
      </c>
      <c r="I438" s="12">
        <f>IF(H438="Overdue",TODAY()-E438,"")</f>
        <v/>
      </c>
    </row>
    <row r="439">
      <c r="A439" s="16" t="n"/>
      <c r="B439" s="16" t="n"/>
      <c r="C439" s="16" t="n"/>
      <c r="D439" s="18" t="n"/>
      <c r="E439" s="19">
        <f>IF(D439="","",D439+Settings!$B$5)</f>
        <v/>
      </c>
      <c r="F439" s="20" t="n"/>
      <c r="G439" s="18" t="n"/>
      <c r="H439" s="12">
        <f>IF(F439="","",IF(G439&lt;&gt;"","Paid",IF(E439="","Sent",IF(E439&lt;TODAY(),"Overdue","Sent"))))</f>
        <v/>
      </c>
      <c r="I439" s="12">
        <f>IF(H439="Overdue",TODAY()-E439,"")</f>
        <v/>
      </c>
    </row>
    <row r="440">
      <c r="A440" s="16" t="n"/>
      <c r="B440" s="16" t="n"/>
      <c r="C440" s="16" t="n"/>
      <c r="D440" s="18" t="n"/>
      <c r="E440" s="19">
        <f>IF(D440="","",D440+Settings!$B$5)</f>
        <v/>
      </c>
      <c r="F440" s="20" t="n"/>
      <c r="G440" s="18" t="n"/>
      <c r="H440" s="12">
        <f>IF(F440="","",IF(G440&lt;&gt;"","Paid",IF(E440="","Sent",IF(E440&lt;TODAY(),"Overdue","Sent"))))</f>
        <v/>
      </c>
      <c r="I440" s="12">
        <f>IF(H440="Overdue",TODAY()-E440,"")</f>
        <v/>
      </c>
    </row>
    <row r="441">
      <c r="A441" s="16" t="n"/>
      <c r="B441" s="16" t="n"/>
      <c r="C441" s="16" t="n"/>
      <c r="D441" s="18" t="n"/>
      <c r="E441" s="19">
        <f>IF(D441="","",D441+Settings!$B$5)</f>
        <v/>
      </c>
      <c r="F441" s="20" t="n"/>
      <c r="G441" s="18" t="n"/>
      <c r="H441" s="12">
        <f>IF(F441="","",IF(G441&lt;&gt;"","Paid",IF(E441="","Sent",IF(E441&lt;TODAY(),"Overdue","Sent"))))</f>
        <v/>
      </c>
      <c r="I441" s="12">
        <f>IF(H441="Overdue",TODAY()-E441,"")</f>
        <v/>
      </c>
    </row>
    <row r="442">
      <c r="A442" s="16" t="n"/>
      <c r="B442" s="16" t="n"/>
      <c r="C442" s="16" t="n"/>
      <c r="D442" s="18" t="n"/>
      <c r="E442" s="19">
        <f>IF(D442="","",D442+Settings!$B$5)</f>
        <v/>
      </c>
      <c r="F442" s="20" t="n"/>
      <c r="G442" s="18" t="n"/>
      <c r="H442" s="12">
        <f>IF(F442="","",IF(G442&lt;&gt;"","Paid",IF(E442="","Sent",IF(E442&lt;TODAY(),"Overdue","Sent"))))</f>
        <v/>
      </c>
      <c r="I442" s="12">
        <f>IF(H442="Overdue",TODAY()-E442,"")</f>
        <v/>
      </c>
    </row>
    <row r="443">
      <c r="A443" s="16" t="n"/>
      <c r="B443" s="16" t="n"/>
      <c r="C443" s="16" t="n"/>
      <c r="D443" s="18" t="n"/>
      <c r="E443" s="19">
        <f>IF(D443="","",D443+Settings!$B$5)</f>
        <v/>
      </c>
      <c r="F443" s="20" t="n"/>
      <c r="G443" s="18" t="n"/>
      <c r="H443" s="12">
        <f>IF(F443="","",IF(G443&lt;&gt;"","Paid",IF(E443="","Sent",IF(E443&lt;TODAY(),"Overdue","Sent"))))</f>
        <v/>
      </c>
      <c r="I443" s="12">
        <f>IF(H443="Overdue",TODAY()-E443,"")</f>
        <v/>
      </c>
    </row>
    <row r="444">
      <c r="A444" s="16" t="n"/>
      <c r="B444" s="16" t="n"/>
      <c r="C444" s="16" t="n"/>
      <c r="D444" s="18" t="n"/>
      <c r="E444" s="19">
        <f>IF(D444="","",D444+Settings!$B$5)</f>
        <v/>
      </c>
      <c r="F444" s="20" t="n"/>
      <c r="G444" s="18" t="n"/>
      <c r="H444" s="12">
        <f>IF(F444="","",IF(G444&lt;&gt;"","Paid",IF(E444="","Sent",IF(E444&lt;TODAY(),"Overdue","Sent"))))</f>
        <v/>
      </c>
      <c r="I444" s="12">
        <f>IF(H444="Overdue",TODAY()-E444,"")</f>
        <v/>
      </c>
    </row>
    <row r="445">
      <c r="A445" s="16" t="n"/>
      <c r="B445" s="16" t="n"/>
      <c r="C445" s="16" t="n"/>
      <c r="D445" s="18" t="n"/>
      <c r="E445" s="19">
        <f>IF(D445="","",D445+Settings!$B$5)</f>
        <v/>
      </c>
      <c r="F445" s="20" t="n"/>
      <c r="G445" s="18" t="n"/>
      <c r="H445" s="12">
        <f>IF(F445="","",IF(G445&lt;&gt;"","Paid",IF(E445="","Sent",IF(E445&lt;TODAY(),"Overdue","Sent"))))</f>
        <v/>
      </c>
      <c r="I445" s="12">
        <f>IF(H445="Overdue",TODAY()-E445,"")</f>
        <v/>
      </c>
    </row>
    <row r="446">
      <c r="A446" s="16" t="n"/>
      <c r="B446" s="16" t="n"/>
      <c r="C446" s="16" t="n"/>
      <c r="D446" s="18" t="n"/>
      <c r="E446" s="19">
        <f>IF(D446="","",D446+Settings!$B$5)</f>
        <v/>
      </c>
      <c r="F446" s="20" t="n"/>
      <c r="G446" s="18" t="n"/>
      <c r="H446" s="12">
        <f>IF(F446="","",IF(G446&lt;&gt;"","Paid",IF(E446="","Sent",IF(E446&lt;TODAY(),"Overdue","Sent"))))</f>
        <v/>
      </c>
      <c r="I446" s="12">
        <f>IF(H446="Overdue",TODAY()-E446,"")</f>
        <v/>
      </c>
    </row>
    <row r="447">
      <c r="A447" s="16" t="n"/>
      <c r="B447" s="16" t="n"/>
      <c r="C447" s="16" t="n"/>
      <c r="D447" s="18" t="n"/>
      <c r="E447" s="19">
        <f>IF(D447="","",D447+Settings!$B$5)</f>
        <v/>
      </c>
      <c r="F447" s="20" t="n"/>
      <c r="G447" s="18" t="n"/>
      <c r="H447" s="12">
        <f>IF(F447="","",IF(G447&lt;&gt;"","Paid",IF(E447="","Sent",IF(E447&lt;TODAY(),"Overdue","Sent"))))</f>
        <v/>
      </c>
      <c r="I447" s="12">
        <f>IF(H447="Overdue",TODAY()-E447,"")</f>
        <v/>
      </c>
    </row>
    <row r="448">
      <c r="A448" s="16" t="n"/>
      <c r="B448" s="16" t="n"/>
      <c r="C448" s="16" t="n"/>
      <c r="D448" s="18" t="n"/>
      <c r="E448" s="19">
        <f>IF(D448="","",D448+Settings!$B$5)</f>
        <v/>
      </c>
      <c r="F448" s="20" t="n"/>
      <c r="G448" s="18" t="n"/>
      <c r="H448" s="12">
        <f>IF(F448="","",IF(G448&lt;&gt;"","Paid",IF(E448="","Sent",IF(E448&lt;TODAY(),"Overdue","Sent"))))</f>
        <v/>
      </c>
      <c r="I448" s="12">
        <f>IF(H448="Overdue",TODAY()-E448,"")</f>
        <v/>
      </c>
    </row>
    <row r="449">
      <c r="A449" s="16" t="n"/>
      <c r="B449" s="16" t="n"/>
      <c r="C449" s="16" t="n"/>
      <c r="D449" s="18" t="n"/>
      <c r="E449" s="19">
        <f>IF(D449="","",D449+Settings!$B$5)</f>
        <v/>
      </c>
      <c r="F449" s="20" t="n"/>
      <c r="G449" s="18" t="n"/>
      <c r="H449" s="12">
        <f>IF(F449="","",IF(G449&lt;&gt;"","Paid",IF(E449="","Sent",IF(E449&lt;TODAY(),"Overdue","Sent"))))</f>
        <v/>
      </c>
      <c r="I449" s="12">
        <f>IF(H449="Overdue",TODAY()-E449,"")</f>
        <v/>
      </c>
    </row>
    <row r="450">
      <c r="A450" s="16" t="n"/>
      <c r="B450" s="16" t="n"/>
      <c r="C450" s="16" t="n"/>
      <c r="D450" s="18" t="n"/>
      <c r="E450" s="19">
        <f>IF(D450="","",D450+Settings!$B$5)</f>
        <v/>
      </c>
      <c r="F450" s="20" t="n"/>
      <c r="G450" s="18" t="n"/>
      <c r="H450" s="12">
        <f>IF(F450="","",IF(G450&lt;&gt;"","Paid",IF(E450="","Sent",IF(E450&lt;TODAY(),"Overdue","Sent"))))</f>
        <v/>
      </c>
      <c r="I450" s="12">
        <f>IF(H450="Overdue",TODAY()-E450,"")</f>
        <v/>
      </c>
    </row>
    <row r="451">
      <c r="A451" s="16" t="n"/>
      <c r="B451" s="16" t="n"/>
      <c r="C451" s="16" t="n"/>
      <c r="D451" s="18" t="n"/>
      <c r="E451" s="19">
        <f>IF(D451="","",D451+Settings!$B$5)</f>
        <v/>
      </c>
      <c r="F451" s="20" t="n"/>
      <c r="G451" s="18" t="n"/>
      <c r="H451" s="12">
        <f>IF(F451="","",IF(G451&lt;&gt;"","Paid",IF(E451="","Sent",IF(E451&lt;TODAY(),"Overdue","Sent"))))</f>
        <v/>
      </c>
      <c r="I451" s="12">
        <f>IF(H451="Overdue",TODAY()-E451,"")</f>
        <v/>
      </c>
    </row>
    <row r="452">
      <c r="A452" s="16" t="n"/>
      <c r="B452" s="16" t="n"/>
      <c r="C452" s="16" t="n"/>
      <c r="D452" s="18" t="n"/>
      <c r="E452" s="19">
        <f>IF(D452="","",D452+Settings!$B$5)</f>
        <v/>
      </c>
      <c r="F452" s="20" t="n"/>
      <c r="G452" s="18" t="n"/>
      <c r="H452" s="12">
        <f>IF(F452="","",IF(G452&lt;&gt;"","Paid",IF(E452="","Sent",IF(E452&lt;TODAY(),"Overdue","Sent"))))</f>
        <v/>
      </c>
      <c r="I452" s="12">
        <f>IF(H452="Overdue",TODAY()-E452,"")</f>
        <v/>
      </c>
    </row>
    <row r="453">
      <c r="A453" s="16" t="n"/>
      <c r="B453" s="16" t="n"/>
      <c r="C453" s="16" t="n"/>
      <c r="D453" s="18" t="n"/>
      <c r="E453" s="19">
        <f>IF(D453="","",D453+Settings!$B$5)</f>
        <v/>
      </c>
      <c r="F453" s="20" t="n"/>
      <c r="G453" s="18" t="n"/>
      <c r="H453" s="12">
        <f>IF(F453="","",IF(G453&lt;&gt;"","Paid",IF(E453="","Sent",IF(E453&lt;TODAY(),"Overdue","Sent"))))</f>
        <v/>
      </c>
      <c r="I453" s="12">
        <f>IF(H453="Overdue",TODAY()-E453,"")</f>
        <v/>
      </c>
    </row>
    <row r="454">
      <c r="A454" s="16" t="n"/>
      <c r="B454" s="16" t="n"/>
      <c r="C454" s="16" t="n"/>
      <c r="D454" s="18" t="n"/>
      <c r="E454" s="19">
        <f>IF(D454="","",D454+Settings!$B$5)</f>
        <v/>
      </c>
      <c r="F454" s="20" t="n"/>
      <c r="G454" s="18" t="n"/>
      <c r="H454" s="12">
        <f>IF(F454="","",IF(G454&lt;&gt;"","Paid",IF(E454="","Sent",IF(E454&lt;TODAY(),"Overdue","Sent"))))</f>
        <v/>
      </c>
      <c r="I454" s="12">
        <f>IF(H454="Overdue",TODAY()-E454,"")</f>
        <v/>
      </c>
    </row>
    <row r="455">
      <c r="A455" s="16" t="n"/>
      <c r="B455" s="16" t="n"/>
      <c r="C455" s="16" t="n"/>
      <c r="D455" s="18" t="n"/>
      <c r="E455" s="19">
        <f>IF(D455="","",D455+Settings!$B$5)</f>
        <v/>
      </c>
      <c r="F455" s="20" t="n"/>
      <c r="G455" s="18" t="n"/>
      <c r="H455" s="12">
        <f>IF(F455="","",IF(G455&lt;&gt;"","Paid",IF(E455="","Sent",IF(E455&lt;TODAY(),"Overdue","Sent"))))</f>
        <v/>
      </c>
      <c r="I455" s="12">
        <f>IF(H455="Overdue",TODAY()-E455,"")</f>
        <v/>
      </c>
    </row>
    <row r="456">
      <c r="A456" s="16" t="n"/>
      <c r="B456" s="16" t="n"/>
      <c r="C456" s="16" t="n"/>
      <c r="D456" s="18" t="n"/>
      <c r="E456" s="19">
        <f>IF(D456="","",D456+Settings!$B$5)</f>
        <v/>
      </c>
      <c r="F456" s="20" t="n"/>
      <c r="G456" s="18" t="n"/>
      <c r="H456" s="12">
        <f>IF(F456="","",IF(G456&lt;&gt;"","Paid",IF(E456="","Sent",IF(E456&lt;TODAY(),"Overdue","Sent"))))</f>
        <v/>
      </c>
      <c r="I456" s="12">
        <f>IF(H456="Overdue",TODAY()-E456,"")</f>
        <v/>
      </c>
    </row>
    <row r="457">
      <c r="A457" s="16" t="n"/>
      <c r="B457" s="16" t="n"/>
      <c r="C457" s="16" t="n"/>
      <c r="D457" s="18" t="n"/>
      <c r="E457" s="19">
        <f>IF(D457="","",D457+Settings!$B$5)</f>
        <v/>
      </c>
      <c r="F457" s="20" t="n"/>
      <c r="G457" s="18" t="n"/>
      <c r="H457" s="12">
        <f>IF(F457="","",IF(G457&lt;&gt;"","Paid",IF(E457="","Sent",IF(E457&lt;TODAY(),"Overdue","Sent"))))</f>
        <v/>
      </c>
      <c r="I457" s="12">
        <f>IF(H457="Overdue",TODAY()-E457,"")</f>
        <v/>
      </c>
    </row>
    <row r="458">
      <c r="A458" s="16" t="n"/>
      <c r="B458" s="16" t="n"/>
      <c r="C458" s="16" t="n"/>
      <c r="D458" s="18" t="n"/>
      <c r="E458" s="19">
        <f>IF(D458="","",D458+Settings!$B$5)</f>
        <v/>
      </c>
      <c r="F458" s="20" t="n"/>
      <c r="G458" s="18" t="n"/>
      <c r="H458" s="12">
        <f>IF(F458="","",IF(G458&lt;&gt;"","Paid",IF(E458="","Sent",IF(E458&lt;TODAY(),"Overdue","Sent"))))</f>
        <v/>
      </c>
      <c r="I458" s="12">
        <f>IF(H458="Overdue",TODAY()-E458,"")</f>
        <v/>
      </c>
    </row>
    <row r="459">
      <c r="A459" s="16" t="n"/>
      <c r="B459" s="16" t="n"/>
      <c r="C459" s="16" t="n"/>
      <c r="D459" s="18" t="n"/>
      <c r="E459" s="19">
        <f>IF(D459="","",D459+Settings!$B$5)</f>
        <v/>
      </c>
      <c r="F459" s="20" t="n"/>
      <c r="G459" s="18" t="n"/>
      <c r="H459" s="12">
        <f>IF(F459="","",IF(G459&lt;&gt;"","Paid",IF(E459="","Sent",IF(E459&lt;TODAY(),"Overdue","Sent"))))</f>
        <v/>
      </c>
      <c r="I459" s="12">
        <f>IF(H459="Overdue",TODAY()-E459,"")</f>
        <v/>
      </c>
    </row>
    <row r="460">
      <c r="A460" s="16" t="n"/>
      <c r="B460" s="16" t="n"/>
      <c r="C460" s="16" t="n"/>
      <c r="D460" s="18" t="n"/>
      <c r="E460" s="19">
        <f>IF(D460="","",D460+Settings!$B$5)</f>
        <v/>
      </c>
      <c r="F460" s="20" t="n"/>
      <c r="G460" s="18" t="n"/>
      <c r="H460" s="12">
        <f>IF(F460="","",IF(G460&lt;&gt;"","Paid",IF(E460="","Sent",IF(E460&lt;TODAY(),"Overdue","Sent"))))</f>
        <v/>
      </c>
      <c r="I460" s="12">
        <f>IF(H460="Overdue",TODAY()-E460,"")</f>
        <v/>
      </c>
    </row>
    <row r="461">
      <c r="A461" s="16" t="n"/>
      <c r="B461" s="16" t="n"/>
      <c r="C461" s="16" t="n"/>
      <c r="D461" s="18" t="n"/>
      <c r="E461" s="19">
        <f>IF(D461="","",D461+Settings!$B$5)</f>
        <v/>
      </c>
      <c r="F461" s="20" t="n"/>
      <c r="G461" s="18" t="n"/>
      <c r="H461" s="12">
        <f>IF(F461="","",IF(G461&lt;&gt;"","Paid",IF(E461="","Sent",IF(E461&lt;TODAY(),"Overdue","Sent"))))</f>
        <v/>
      </c>
      <c r="I461" s="12">
        <f>IF(H461="Overdue",TODAY()-E461,"")</f>
        <v/>
      </c>
    </row>
    <row r="462">
      <c r="A462" s="16" t="n"/>
      <c r="B462" s="16" t="n"/>
      <c r="C462" s="16" t="n"/>
      <c r="D462" s="18" t="n"/>
      <c r="E462" s="19">
        <f>IF(D462="","",D462+Settings!$B$5)</f>
        <v/>
      </c>
      <c r="F462" s="20" t="n"/>
      <c r="G462" s="18" t="n"/>
      <c r="H462" s="12">
        <f>IF(F462="","",IF(G462&lt;&gt;"","Paid",IF(E462="","Sent",IF(E462&lt;TODAY(),"Overdue","Sent"))))</f>
        <v/>
      </c>
      <c r="I462" s="12">
        <f>IF(H462="Overdue",TODAY()-E462,"")</f>
        <v/>
      </c>
    </row>
    <row r="463">
      <c r="A463" s="16" t="n"/>
      <c r="B463" s="16" t="n"/>
      <c r="C463" s="16" t="n"/>
      <c r="D463" s="18" t="n"/>
      <c r="E463" s="19">
        <f>IF(D463="","",D463+Settings!$B$5)</f>
        <v/>
      </c>
      <c r="F463" s="20" t="n"/>
      <c r="G463" s="18" t="n"/>
      <c r="H463" s="12">
        <f>IF(F463="","",IF(G463&lt;&gt;"","Paid",IF(E463="","Sent",IF(E463&lt;TODAY(),"Overdue","Sent"))))</f>
        <v/>
      </c>
      <c r="I463" s="12">
        <f>IF(H463="Overdue",TODAY()-E463,"")</f>
        <v/>
      </c>
    </row>
    <row r="464">
      <c r="A464" s="16" t="n"/>
      <c r="B464" s="16" t="n"/>
      <c r="C464" s="16" t="n"/>
      <c r="D464" s="18" t="n"/>
      <c r="E464" s="19">
        <f>IF(D464="","",D464+Settings!$B$5)</f>
        <v/>
      </c>
      <c r="F464" s="20" t="n"/>
      <c r="G464" s="18" t="n"/>
      <c r="H464" s="12">
        <f>IF(F464="","",IF(G464&lt;&gt;"","Paid",IF(E464="","Sent",IF(E464&lt;TODAY(),"Overdue","Sent"))))</f>
        <v/>
      </c>
      <c r="I464" s="12">
        <f>IF(H464="Overdue",TODAY()-E464,"")</f>
        <v/>
      </c>
    </row>
    <row r="465">
      <c r="A465" s="16" t="n"/>
      <c r="B465" s="16" t="n"/>
      <c r="C465" s="16" t="n"/>
      <c r="D465" s="18" t="n"/>
      <c r="E465" s="19">
        <f>IF(D465="","",D465+Settings!$B$5)</f>
        <v/>
      </c>
      <c r="F465" s="20" t="n"/>
      <c r="G465" s="18" t="n"/>
      <c r="H465" s="12">
        <f>IF(F465="","",IF(G465&lt;&gt;"","Paid",IF(E465="","Sent",IF(E465&lt;TODAY(),"Overdue","Sent"))))</f>
        <v/>
      </c>
      <c r="I465" s="12">
        <f>IF(H465="Overdue",TODAY()-E465,"")</f>
        <v/>
      </c>
    </row>
    <row r="466">
      <c r="A466" s="16" t="n"/>
      <c r="B466" s="16" t="n"/>
      <c r="C466" s="16" t="n"/>
      <c r="D466" s="18" t="n"/>
      <c r="E466" s="19">
        <f>IF(D466="","",D466+Settings!$B$5)</f>
        <v/>
      </c>
      <c r="F466" s="20" t="n"/>
      <c r="G466" s="18" t="n"/>
      <c r="H466" s="12">
        <f>IF(F466="","",IF(G466&lt;&gt;"","Paid",IF(E466="","Sent",IF(E466&lt;TODAY(),"Overdue","Sent"))))</f>
        <v/>
      </c>
      <c r="I466" s="12">
        <f>IF(H466="Overdue",TODAY()-E466,"")</f>
        <v/>
      </c>
    </row>
    <row r="467">
      <c r="A467" s="16" t="n"/>
      <c r="B467" s="16" t="n"/>
      <c r="C467" s="16" t="n"/>
      <c r="D467" s="18" t="n"/>
      <c r="E467" s="19">
        <f>IF(D467="","",D467+Settings!$B$5)</f>
        <v/>
      </c>
      <c r="F467" s="20" t="n"/>
      <c r="G467" s="18" t="n"/>
      <c r="H467" s="12">
        <f>IF(F467="","",IF(G467&lt;&gt;"","Paid",IF(E467="","Sent",IF(E467&lt;TODAY(),"Overdue","Sent"))))</f>
        <v/>
      </c>
      <c r="I467" s="12">
        <f>IF(H467="Overdue",TODAY()-E467,"")</f>
        <v/>
      </c>
    </row>
    <row r="468">
      <c r="A468" s="16" t="n"/>
      <c r="B468" s="16" t="n"/>
      <c r="C468" s="16" t="n"/>
      <c r="D468" s="18" t="n"/>
      <c r="E468" s="19">
        <f>IF(D468="","",D468+Settings!$B$5)</f>
        <v/>
      </c>
      <c r="F468" s="20" t="n"/>
      <c r="G468" s="18" t="n"/>
      <c r="H468" s="12">
        <f>IF(F468="","",IF(G468&lt;&gt;"","Paid",IF(E468="","Sent",IF(E468&lt;TODAY(),"Overdue","Sent"))))</f>
        <v/>
      </c>
      <c r="I468" s="12">
        <f>IF(H468="Overdue",TODAY()-E468,"")</f>
        <v/>
      </c>
    </row>
    <row r="469">
      <c r="A469" s="16" t="n"/>
      <c r="B469" s="16" t="n"/>
      <c r="C469" s="16" t="n"/>
      <c r="D469" s="18" t="n"/>
      <c r="E469" s="19">
        <f>IF(D469="","",D469+Settings!$B$5)</f>
        <v/>
      </c>
      <c r="F469" s="20" t="n"/>
      <c r="G469" s="18" t="n"/>
      <c r="H469" s="12">
        <f>IF(F469="","",IF(G469&lt;&gt;"","Paid",IF(E469="","Sent",IF(E469&lt;TODAY(),"Overdue","Sent"))))</f>
        <v/>
      </c>
      <c r="I469" s="12">
        <f>IF(H469="Overdue",TODAY()-E469,"")</f>
        <v/>
      </c>
    </row>
    <row r="470">
      <c r="A470" s="16" t="n"/>
      <c r="B470" s="16" t="n"/>
      <c r="C470" s="16" t="n"/>
      <c r="D470" s="18" t="n"/>
      <c r="E470" s="19">
        <f>IF(D470="","",D470+Settings!$B$5)</f>
        <v/>
      </c>
      <c r="F470" s="20" t="n"/>
      <c r="G470" s="18" t="n"/>
      <c r="H470" s="12">
        <f>IF(F470="","",IF(G470&lt;&gt;"","Paid",IF(E470="","Sent",IF(E470&lt;TODAY(),"Overdue","Sent"))))</f>
        <v/>
      </c>
      <c r="I470" s="12">
        <f>IF(H470="Overdue",TODAY()-E470,"")</f>
        <v/>
      </c>
    </row>
    <row r="471">
      <c r="A471" s="16" t="n"/>
      <c r="B471" s="16" t="n"/>
      <c r="C471" s="16" t="n"/>
      <c r="D471" s="18" t="n"/>
      <c r="E471" s="19">
        <f>IF(D471="","",D471+Settings!$B$5)</f>
        <v/>
      </c>
      <c r="F471" s="20" t="n"/>
      <c r="G471" s="18" t="n"/>
      <c r="H471" s="12">
        <f>IF(F471="","",IF(G471&lt;&gt;"","Paid",IF(E471="","Sent",IF(E471&lt;TODAY(),"Overdue","Sent"))))</f>
        <v/>
      </c>
      <c r="I471" s="12">
        <f>IF(H471="Overdue",TODAY()-E471,"")</f>
        <v/>
      </c>
    </row>
    <row r="472">
      <c r="A472" s="16" t="n"/>
      <c r="B472" s="16" t="n"/>
      <c r="C472" s="16" t="n"/>
      <c r="D472" s="18" t="n"/>
      <c r="E472" s="19">
        <f>IF(D472="","",D472+Settings!$B$5)</f>
        <v/>
      </c>
      <c r="F472" s="20" t="n"/>
      <c r="G472" s="18" t="n"/>
      <c r="H472" s="12">
        <f>IF(F472="","",IF(G472&lt;&gt;"","Paid",IF(E472="","Sent",IF(E472&lt;TODAY(),"Overdue","Sent"))))</f>
        <v/>
      </c>
      <c r="I472" s="12">
        <f>IF(H472="Overdue",TODAY()-E472,"")</f>
        <v/>
      </c>
    </row>
    <row r="473">
      <c r="A473" s="16" t="n"/>
      <c r="B473" s="16" t="n"/>
      <c r="C473" s="16" t="n"/>
      <c r="D473" s="18" t="n"/>
      <c r="E473" s="19">
        <f>IF(D473="","",D473+Settings!$B$5)</f>
        <v/>
      </c>
      <c r="F473" s="20" t="n"/>
      <c r="G473" s="18" t="n"/>
      <c r="H473" s="12">
        <f>IF(F473="","",IF(G473&lt;&gt;"","Paid",IF(E473="","Sent",IF(E473&lt;TODAY(),"Overdue","Sent"))))</f>
        <v/>
      </c>
      <c r="I473" s="12">
        <f>IF(H473="Overdue",TODAY()-E473,"")</f>
        <v/>
      </c>
    </row>
    <row r="474">
      <c r="A474" s="16" t="n"/>
      <c r="B474" s="16" t="n"/>
      <c r="C474" s="16" t="n"/>
      <c r="D474" s="18" t="n"/>
      <c r="E474" s="19">
        <f>IF(D474="","",D474+Settings!$B$5)</f>
        <v/>
      </c>
      <c r="F474" s="20" t="n"/>
      <c r="G474" s="18" t="n"/>
      <c r="H474" s="12">
        <f>IF(F474="","",IF(G474&lt;&gt;"","Paid",IF(E474="","Sent",IF(E474&lt;TODAY(),"Overdue","Sent"))))</f>
        <v/>
      </c>
      <c r="I474" s="12">
        <f>IF(H474="Overdue",TODAY()-E474,"")</f>
        <v/>
      </c>
    </row>
    <row r="475">
      <c r="A475" s="16" t="n"/>
      <c r="B475" s="16" t="n"/>
      <c r="C475" s="16" t="n"/>
      <c r="D475" s="18" t="n"/>
      <c r="E475" s="19">
        <f>IF(D475="","",D475+Settings!$B$5)</f>
        <v/>
      </c>
      <c r="F475" s="20" t="n"/>
      <c r="G475" s="18" t="n"/>
      <c r="H475" s="12">
        <f>IF(F475="","",IF(G475&lt;&gt;"","Paid",IF(E475="","Sent",IF(E475&lt;TODAY(),"Overdue","Sent"))))</f>
        <v/>
      </c>
      <c r="I475" s="12">
        <f>IF(H475="Overdue",TODAY()-E475,"")</f>
        <v/>
      </c>
    </row>
    <row r="476">
      <c r="A476" s="16" t="n"/>
      <c r="B476" s="16" t="n"/>
      <c r="C476" s="16" t="n"/>
      <c r="D476" s="18" t="n"/>
      <c r="E476" s="19">
        <f>IF(D476="","",D476+Settings!$B$5)</f>
        <v/>
      </c>
      <c r="F476" s="20" t="n"/>
      <c r="G476" s="18" t="n"/>
      <c r="H476" s="12">
        <f>IF(F476="","",IF(G476&lt;&gt;"","Paid",IF(E476="","Sent",IF(E476&lt;TODAY(),"Overdue","Sent"))))</f>
        <v/>
      </c>
      <c r="I476" s="12">
        <f>IF(H476="Overdue",TODAY()-E476,"")</f>
        <v/>
      </c>
    </row>
    <row r="477">
      <c r="A477" s="16" t="n"/>
      <c r="B477" s="16" t="n"/>
      <c r="C477" s="16" t="n"/>
      <c r="D477" s="18" t="n"/>
      <c r="E477" s="19">
        <f>IF(D477="","",D477+Settings!$B$5)</f>
        <v/>
      </c>
      <c r="F477" s="20" t="n"/>
      <c r="G477" s="18" t="n"/>
      <c r="H477" s="12">
        <f>IF(F477="","",IF(G477&lt;&gt;"","Paid",IF(E477="","Sent",IF(E477&lt;TODAY(),"Overdue","Sent"))))</f>
        <v/>
      </c>
      <c r="I477" s="12">
        <f>IF(H477="Overdue",TODAY()-E477,"")</f>
        <v/>
      </c>
    </row>
    <row r="478">
      <c r="A478" s="16" t="n"/>
      <c r="B478" s="16" t="n"/>
      <c r="C478" s="16" t="n"/>
      <c r="D478" s="18" t="n"/>
      <c r="E478" s="19">
        <f>IF(D478="","",D478+Settings!$B$5)</f>
        <v/>
      </c>
      <c r="F478" s="20" t="n"/>
      <c r="G478" s="18" t="n"/>
      <c r="H478" s="12">
        <f>IF(F478="","",IF(G478&lt;&gt;"","Paid",IF(E478="","Sent",IF(E478&lt;TODAY(),"Overdue","Sent"))))</f>
        <v/>
      </c>
      <c r="I478" s="12">
        <f>IF(H478="Overdue",TODAY()-E478,"")</f>
        <v/>
      </c>
    </row>
    <row r="479">
      <c r="A479" s="16" t="n"/>
      <c r="B479" s="16" t="n"/>
      <c r="C479" s="16" t="n"/>
      <c r="D479" s="18" t="n"/>
      <c r="E479" s="19">
        <f>IF(D479="","",D479+Settings!$B$5)</f>
        <v/>
      </c>
      <c r="F479" s="20" t="n"/>
      <c r="G479" s="18" t="n"/>
      <c r="H479" s="12">
        <f>IF(F479="","",IF(G479&lt;&gt;"","Paid",IF(E479="","Sent",IF(E479&lt;TODAY(),"Overdue","Sent"))))</f>
        <v/>
      </c>
      <c r="I479" s="12">
        <f>IF(H479="Overdue",TODAY()-E479,"")</f>
        <v/>
      </c>
    </row>
    <row r="480">
      <c r="A480" s="16" t="n"/>
      <c r="B480" s="16" t="n"/>
      <c r="C480" s="16" t="n"/>
      <c r="D480" s="18" t="n"/>
      <c r="E480" s="19">
        <f>IF(D480="","",D480+Settings!$B$5)</f>
        <v/>
      </c>
      <c r="F480" s="20" t="n"/>
      <c r="G480" s="18" t="n"/>
      <c r="H480" s="12">
        <f>IF(F480="","",IF(G480&lt;&gt;"","Paid",IF(E480="","Sent",IF(E480&lt;TODAY(),"Overdue","Sent"))))</f>
        <v/>
      </c>
      <c r="I480" s="12">
        <f>IF(H480="Overdue",TODAY()-E480,"")</f>
        <v/>
      </c>
    </row>
    <row r="481">
      <c r="A481" s="16" t="n"/>
      <c r="B481" s="16" t="n"/>
      <c r="C481" s="16" t="n"/>
      <c r="D481" s="18" t="n"/>
      <c r="E481" s="19">
        <f>IF(D481="","",D481+Settings!$B$5)</f>
        <v/>
      </c>
      <c r="F481" s="20" t="n"/>
      <c r="G481" s="18" t="n"/>
      <c r="H481" s="12">
        <f>IF(F481="","",IF(G481&lt;&gt;"","Paid",IF(E481="","Sent",IF(E481&lt;TODAY(),"Overdue","Sent"))))</f>
        <v/>
      </c>
      <c r="I481" s="12">
        <f>IF(H481="Overdue",TODAY()-E481,"")</f>
        <v/>
      </c>
    </row>
    <row r="482">
      <c r="A482" s="16" t="n"/>
      <c r="B482" s="16" t="n"/>
      <c r="C482" s="16" t="n"/>
      <c r="D482" s="18" t="n"/>
      <c r="E482" s="19">
        <f>IF(D482="","",D482+Settings!$B$5)</f>
        <v/>
      </c>
      <c r="F482" s="20" t="n"/>
      <c r="G482" s="18" t="n"/>
      <c r="H482" s="12">
        <f>IF(F482="","",IF(G482&lt;&gt;"","Paid",IF(E482="","Sent",IF(E482&lt;TODAY(),"Overdue","Sent"))))</f>
        <v/>
      </c>
      <c r="I482" s="12">
        <f>IF(H482="Overdue",TODAY()-E482,"")</f>
        <v/>
      </c>
    </row>
    <row r="483">
      <c r="A483" s="16" t="n"/>
      <c r="B483" s="16" t="n"/>
      <c r="C483" s="16" t="n"/>
      <c r="D483" s="18" t="n"/>
      <c r="E483" s="19">
        <f>IF(D483="","",D483+Settings!$B$5)</f>
        <v/>
      </c>
      <c r="F483" s="20" t="n"/>
      <c r="G483" s="18" t="n"/>
      <c r="H483" s="12">
        <f>IF(F483="","",IF(G483&lt;&gt;"","Paid",IF(E483="","Sent",IF(E483&lt;TODAY(),"Overdue","Sent"))))</f>
        <v/>
      </c>
      <c r="I483" s="12">
        <f>IF(H483="Overdue",TODAY()-E483,"")</f>
        <v/>
      </c>
    </row>
    <row r="484">
      <c r="A484" s="16" t="n"/>
      <c r="B484" s="16" t="n"/>
      <c r="C484" s="16" t="n"/>
      <c r="D484" s="18" t="n"/>
      <c r="E484" s="19">
        <f>IF(D484="","",D484+Settings!$B$5)</f>
        <v/>
      </c>
      <c r="F484" s="20" t="n"/>
      <c r="G484" s="18" t="n"/>
      <c r="H484" s="12">
        <f>IF(F484="","",IF(G484&lt;&gt;"","Paid",IF(E484="","Sent",IF(E484&lt;TODAY(),"Overdue","Sent"))))</f>
        <v/>
      </c>
      <c r="I484" s="12">
        <f>IF(H484="Overdue",TODAY()-E484,"")</f>
        <v/>
      </c>
    </row>
    <row r="485">
      <c r="A485" s="16" t="n"/>
      <c r="B485" s="16" t="n"/>
      <c r="C485" s="16" t="n"/>
      <c r="D485" s="18" t="n"/>
      <c r="E485" s="19">
        <f>IF(D485="","",D485+Settings!$B$5)</f>
        <v/>
      </c>
      <c r="F485" s="20" t="n"/>
      <c r="G485" s="18" t="n"/>
      <c r="H485" s="12">
        <f>IF(F485="","",IF(G485&lt;&gt;"","Paid",IF(E485="","Sent",IF(E485&lt;TODAY(),"Overdue","Sent"))))</f>
        <v/>
      </c>
      <c r="I485" s="12">
        <f>IF(H485="Overdue",TODAY()-E485,"")</f>
        <v/>
      </c>
    </row>
    <row r="486">
      <c r="A486" s="16" t="n"/>
      <c r="B486" s="16" t="n"/>
      <c r="C486" s="16" t="n"/>
      <c r="D486" s="18" t="n"/>
      <c r="E486" s="19">
        <f>IF(D486="","",D486+Settings!$B$5)</f>
        <v/>
      </c>
      <c r="F486" s="20" t="n"/>
      <c r="G486" s="18" t="n"/>
      <c r="H486" s="12">
        <f>IF(F486="","",IF(G486&lt;&gt;"","Paid",IF(E486="","Sent",IF(E486&lt;TODAY(),"Overdue","Sent"))))</f>
        <v/>
      </c>
      <c r="I486" s="12">
        <f>IF(H486="Overdue",TODAY()-E486,"")</f>
        <v/>
      </c>
    </row>
    <row r="487">
      <c r="A487" s="16" t="n"/>
      <c r="B487" s="16" t="n"/>
      <c r="C487" s="16" t="n"/>
      <c r="D487" s="18" t="n"/>
      <c r="E487" s="19">
        <f>IF(D487="","",D487+Settings!$B$5)</f>
        <v/>
      </c>
      <c r="F487" s="20" t="n"/>
      <c r="G487" s="18" t="n"/>
      <c r="H487" s="12">
        <f>IF(F487="","",IF(G487&lt;&gt;"","Paid",IF(E487="","Sent",IF(E487&lt;TODAY(),"Overdue","Sent"))))</f>
        <v/>
      </c>
      <c r="I487" s="12">
        <f>IF(H487="Overdue",TODAY()-E487,"")</f>
        <v/>
      </c>
    </row>
    <row r="488">
      <c r="A488" s="16" t="n"/>
      <c r="B488" s="16" t="n"/>
      <c r="C488" s="16" t="n"/>
      <c r="D488" s="18" t="n"/>
      <c r="E488" s="19">
        <f>IF(D488="","",D488+Settings!$B$5)</f>
        <v/>
      </c>
      <c r="F488" s="20" t="n"/>
      <c r="G488" s="18" t="n"/>
      <c r="H488" s="12">
        <f>IF(F488="","",IF(G488&lt;&gt;"","Paid",IF(E488="","Sent",IF(E488&lt;TODAY(),"Overdue","Sent"))))</f>
        <v/>
      </c>
      <c r="I488" s="12">
        <f>IF(H488="Overdue",TODAY()-E488,"")</f>
        <v/>
      </c>
    </row>
    <row r="489">
      <c r="A489" s="16" t="n"/>
      <c r="B489" s="16" t="n"/>
      <c r="C489" s="16" t="n"/>
      <c r="D489" s="18" t="n"/>
      <c r="E489" s="19">
        <f>IF(D489="","",D489+Settings!$B$5)</f>
        <v/>
      </c>
      <c r="F489" s="20" t="n"/>
      <c r="G489" s="18" t="n"/>
      <c r="H489" s="12">
        <f>IF(F489="","",IF(G489&lt;&gt;"","Paid",IF(E489="","Sent",IF(E489&lt;TODAY(),"Overdue","Sent"))))</f>
        <v/>
      </c>
      <c r="I489" s="12">
        <f>IF(H489="Overdue",TODAY()-E489,"")</f>
        <v/>
      </c>
    </row>
    <row r="490">
      <c r="A490" s="16" t="n"/>
      <c r="B490" s="16" t="n"/>
      <c r="C490" s="16" t="n"/>
      <c r="D490" s="18" t="n"/>
      <c r="E490" s="19">
        <f>IF(D490="","",D490+Settings!$B$5)</f>
        <v/>
      </c>
      <c r="F490" s="20" t="n"/>
      <c r="G490" s="18" t="n"/>
      <c r="H490" s="12">
        <f>IF(F490="","",IF(G490&lt;&gt;"","Paid",IF(E490="","Sent",IF(E490&lt;TODAY(),"Overdue","Sent"))))</f>
        <v/>
      </c>
      <c r="I490" s="12">
        <f>IF(H490="Overdue",TODAY()-E490,"")</f>
        <v/>
      </c>
    </row>
    <row r="491">
      <c r="A491" s="16" t="n"/>
      <c r="B491" s="16" t="n"/>
      <c r="C491" s="16" t="n"/>
      <c r="D491" s="18" t="n"/>
      <c r="E491" s="19">
        <f>IF(D491="","",D491+Settings!$B$5)</f>
        <v/>
      </c>
      <c r="F491" s="20" t="n"/>
      <c r="G491" s="18" t="n"/>
      <c r="H491" s="12">
        <f>IF(F491="","",IF(G491&lt;&gt;"","Paid",IF(E491="","Sent",IF(E491&lt;TODAY(),"Overdue","Sent"))))</f>
        <v/>
      </c>
      <c r="I491" s="12">
        <f>IF(H491="Overdue",TODAY()-E491,"")</f>
        <v/>
      </c>
    </row>
    <row r="492">
      <c r="A492" s="16" t="n"/>
      <c r="B492" s="16" t="n"/>
      <c r="C492" s="16" t="n"/>
      <c r="D492" s="18" t="n"/>
      <c r="E492" s="19">
        <f>IF(D492="","",D492+Settings!$B$5)</f>
        <v/>
      </c>
      <c r="F492" s="20" t="n"/>
      <c r="G492" s="18" t="n"/>
      <c r="H492" s="12">
        <f>IF(F492="","",IF(G492&lt;&gt;"","Paid",IF(E492="","Sent",IF(E492&lt;TODAY(),"Overdue","Sent"))))</f>
        <v/>
      </c>
      <c r="I492" s="12">
        <f>IF(H492="Overdue",TODAY()-E492,"")</f>
        <v/>
      </c>
    </row>
    <row r="493">
      <c r="A493" s="16" t="n"/>
      <c r="B493" s="16" t="n"/>
      <c r="C493" s="16" t="n"/>
      <c r="D493" s="18" t="n"/>
      <c r="E493" s="19">
        <f>IF(D493="","",D493+Settings!$B$5)</f>
        <v/>
      </c>
      <c r="F493" s="20" t="n"/>
      <c r="G493" s="18" t="n"/>
      <c r="H493" s="12">
        <f>IF(F493="","",IF(G493&lt;&gt;"","Paid",IF(E493="","Sent",IF(E493&lt;TODAY(),"Overdue","Sent"))))</f>
        <v/>
      </c>
      <c r="I493" s="12">
        <f>IF(H493="Overdue",TODAY()-E493,"")</f>
        <v/>
      </c>
    </row>
    <row r="494">
      <c r="A494" s="16" t="n"/>
      <c r="B494" s="16" t="n"/>
      <c r="C494" s="16" t="n"/>
      <c r="D494" s="18" t="n"/>
      <c r="E494" s="19">
        <f>IF(D494="","",D494+Settings!$B$5)</f>
        <v/>
      </c>
      <c r="F494" s="20" t="n"/>
      <c r="G494" s="18" t="n"/>
      <c r="H494" s="12">
        <f>IF(F494="","",IF(G494&lt;&gt;"","Paid",IF(E494="","Sent",IF(E494&lt;TODAY(),"Overdue","Sent"))))</f>
        <v/>
      </c>
      <c r="I494" s="12">
        <f>IF(H494="Overdue",TODAY()-E494,"")</f>
        <v/>
      </c>
    </row>
    <row r="495">
      <c r="A495" s="16" t="n"/>
      <c r="B495" s="16" t="n"/>
      <c r="C495" s="16" t="n"/>
      <c r="D495" s="18" t="n"/>
      <c r="E495" s="19">
        <f>IF(D495="","",D495+Settings!$B$5)</f>
        <v/>
      </c>
      <c r="F495" s="20" t="n"/>
      <c r="G495" s="18" t="n"/>
      <c r="H495" s="12">
        <f>IF(F495="","",IF(G495&lt;&gt;"","Paid",IF(E495="","Sent",IF(E495&lt;TODAY(),"Overdue","Sent"))))</f>
        <v/>
      </c>
      <c r="I495" s="12">
        <f>IF(H495="Overdue",TODAY()-E495,"")</f>
        <v/>
      </c>
    </row>
    <row r="496">
      <c r="A496" s="16" t="n"/>
      <c r="B496" s="16" t="n"/>
      <c r="C496" s="16" t="n"/>
      <c r="D496" s="18" t="n"/>
      <c r="E496" s="19">
        <f>IF(D496="","",D496+Settings!$B$5)</f>
        <v/>
      </c>
      <c r="F496" s="20" t="n"/>
      <c r="G496" s="18" t="n"/>
      <c r="H496" s="12">
        <f>IF(F496="","",IF(G496&lt;&gt;"","Paid",IF(E496="","Sent",IF(E496&lt;TODAY(),"Overdue","Sent"))))</f>
        <v/>
      </c>
      <c r="I496" s="12">
        <f>IF(H496="Overdue",TODAY()-E496,"")</f>
        <v/>
      </c>
    </row>
    <row r="497">
      <c r="A497" s="16" t="n"/>
      <c r="B497" s="16" t="n"/>
      <c r="C497" s="16" t="n"/>
      <c r="D497" s="18" t="n"/>
      <c r="E497" s="19">
        <f>IF(D497="","",D497+Settings!$B$5)</f>
        <v/>
      </c>
      <c r="F497" s="20" t="n"/>
      <c r="G497" s="18" t="n"/>
      <c r="H497" s="12">
        <f>IF(F497="","",IF(G497&lt;&gt;"","Paid",IF(E497="","Sent",IF(E497&lt;TODAY(),"Overdue","Sent"))))</f>
        <v/>
      </c>
      <c r="I497" s="12">
        <f>IF(H497="Overdue",TODAY()-E497,"")</f>
        <v/>
      </c>
    </row>
    <row r="498">
      <c r="A498" s="16" t="n"/>
      <c r="B498" s="16" t="n"/>
      <c r="C498" s="16" t="n"/>
      <c r="D498" s="18" t="n"/>
      <c r="E498" s="19">
        <f>IF(D498="","",D498+Settings!$B$5)</f>
        <v/>
      </c>
      <c r="F498" s="20" t="n"/>
      <c r="G498" s="18" t="n"/>
      <c r="H498" s="12">
        <f>IF(F498="","",IF(G498&lt;&gt;"","Paid",IF(E498="","Sent",IF(E498&lt;TODAY(),"Overdue","Sent"))))</f>
        <v/>
      </c>
      <c r="I498" s="12">
        <f>IF(H498="Overdue",TODAY()-E498,"")</f>
        <v/>
      </c>
    </row>
    <row r="499">
      <c r="A499" s="16" t="n"/>
      <c r="B499" s="16" t="n"/>
      <c r="C499" s="16" t="n"/>
      <c r="D499" s="18" t="n"/>
      <c r="E499" s="19">
        <f>IF(D499="","",D499+Settings!$B$5)</f>
        <v/>
      </c>
      <c r="F499" s="20" t="n"/>
      <c r="G499" s="18" t="n"/>
      <c r="H499" s="12">
        <f>IF(F499="","",IF(G499&lt;&gt;"","Paid",IF(E499="","Sent",IF(E499&lt;TODAY(),"Overdue","Sent"))))</f>
        <v/>
      </c>
      <c r="I499" s="12">
        <f>IF(H499="Overdue",TODAY()-E499,"")</f>
        <v/>
      </c>
    </row>
    <row r="500">
      <c r="A500" s="16" t="n"/>
      <c r="B500" s="16" t="n"/>
      <c r="C500" s="16" t="n"/>
      <c r="D500" s="18" t="n"/>
      <c r="E500" s="19">
        <f>IF(D500="","",D500+Settings!$B$5)</f>
        <v/>
      </c>
      <c r="F500" s="20" t="n"/>
      <c r="G500" s="18" t="n"/>
      <c r="H500" s="12">
        <f>IF(F500="","",IF(G500&lt;&gt;"","Paid",IF(E500="","Sent",IF(E500&lt;TODAY(),"Overdue","Sent"))))</f>
        <v/>
      </c>
      <c r="I500" s="12">
        <f>IF(H500="Overdue",TODAY()-E500,"")</f>
        <v/>
      </c>
    </row>
    <row r="501">
      <c r="A501" s="16" t="n"/>
      <c r="B501" s="16" t="n"/>
      <c r="C501" s="16" t="n"/>
      <c r="D501" s="18" t="n"/>
      <c r="E501" s="19">
        <f>IF(D501="","",D501+Settings!$B$5)</f>
        <v/>
      </c>
      <c r="F501" s="20" t="n"/>
      <c r="G501" s="18" t="n"/>
      <c r="H501" s="12">
        <f>IF(F501="","",IF(G501&lt;&gt;"","Paid",IF(E501="","Sent",IF(E501&lt;TODAY(),"Overdue","Sent"))))</f>
        <v/>
      </c>
      <c r="I501" s="12">
        <f>IF(H501="Overdue",TODAY()-E501,"")</f>
        <v/>
      </c>
    </row>
  </sheetData>
  <conditionalFormatting sqref="H2:H501">
    <cfRule type="expression" priority="1" dxfId="0">
      <formula>H2="Paid"</formula>
    </cfRule>
    <cfRule type="expression" priority="2" dxfId="1">
      <formula>H2="Overdue"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14" customWidth="1" min="4" max="4"/>
    <col width="40" customWidth="1" min="5" max="5"/>
  </cols>
  <sheetData>
    <row r="1" ht="30" customHeight="1">
      <c r="A1" s="8" t="inlineStr">
        <is>
          <t>Date</t>
        </is>
      </c>
      <c r="B1" s="8" t="inlineStr">
        <is>
          <t>Vendor</t>
        </is>
      </c>
      <c r="C1" s="8" t="inlineStr">
        <is>
          <t>Category</t>
        </is>
      </c>
      <c r="D1" s="8" t="inlineStr">
        <is>
          <t>Amount</t>
        </is>
      </c>
      <c r="E1" s="8" t="inlineStr">
        <is>
          <t>Notes</t>
        </is>
      </c>
    </row>
    <row r="2">
      <c r="A2" s="18">
        <f>TODAY()-60</f>
        <v/>
      </c>
      <c r="B2" s="16" t="inlineStr">
        <is>
          <t>Adobe</t>
        </is>
      </c>
      <c r="C2" s="16" t="inlineStr">
        <is>
          <t>Software &amp; subscriptions</t>
        </is>
      </c>
      <c r="D2" s="20" t="n">
        <v>59.99</v>
      </c>
      <c r="E2" s="16" t="inlineStr">
        <is>
          <t>Creative suite</t>
        </is>
      </c>
    </row>
    <row r="3">
      <c r="A3" s="18">
        <f>TODAY()-41</f>
        <v/>
      </c>
      <c r="B3" s="16" t="inlineStr">
        <is>
          <t>Laptop Co</t>
        </is>
      </c>
      <c r="C3" s="16" t="inlineStr">
        <is>
          <t>Equipment</t>
        </is>
      </c>
      <c r="D3" s="20" t="n">
        <v>1299</v>
      </c>
      <c r="E3" s="16" t="inlineStr">
        <is>
          <t>New laptop</t>
        </is>
      </c>
    </row>
    <row r="4">
      <c r="A4" s="18">
        <f>TODAY()-22</f>
        <v/>
      </c>
      <c r="B4" s="16" t="inlineStr">
        <is>
          <t>Co-working Space</t>
        </is>
      </c>
      <c r="C4" s="16" t="inlineStr">
        <is>
          <t>Home office</t>
        </is>
      </c>
      <c r="D4" s="20" t="n">
        <v>180</v>
      </c>
      <c r="E4" s="16" t="inlineStr">
        <is>
          <t>Day passes</t>
        </is>
      </c>
    </row>
    <row r="5">
      <c r="A5" s="18">
        <f>TODAY()-9</f>
        <v/>
      </c>
      <c r="B5" s="16" t="inlineStr">
        <is>
          <t>Stripe</t>
        </is>
      </c>
      <c r="C5" s="16" t="inlineStr">
        <is>
          <t>Bank &amp; payment fees</t>
        </is>
      </c>
      <c r="D5" s="20" t="n">
        <v>31.4</v>
      </c>
      <c r="E5" s="16" t="inlineStr">
        <is>
          <t>Processing fees</t>
        </is>
      </c>
    </row>
    <row r="6">
      <c r="A6" s="18" t="n"/>
      <c r="B6" s="16" t="n"/>
      <c r="C6" s="16" t="n"/>
      <c r="D6" s="20" t="n"/>
      <c r="E6" s="16" t="n"/>
    </row>
    <row r="7">
      <c r="A7" s="18" t="n"/>
      <c r="B7" s="16" t="n"/>
      <c r="C7" s="16" t="n"/>
      <c r="D7" s="20" t="n"/>
      <c r="E7" s="16" t="n"/>
    </row>
    <row r="8">
      <c r="A8" s="18" t="n"/>
      <c r="B8" s="16" t="n"/>
      <c r="C8" s="16" t="n"/>
      <c r="D8" s="20" t="n"/>
      <c r="E8" s="16" t="n"/>
    </row>
    <row r="9">
      <c r="A9" s="18" t="n"/>
      <c r="B9" s="16" t="n"/>
      <c r="C9" s="16" t="n"/>
      <c r="D9" s="20" t="n"/>
      <c r="E9" s="16" t="n"/>
    </row>
    <row r="10">
      <c r="A10" s="18" t="n"/>
      <c r="B10" s="16" t="n"/>
      <c r="C10" s="16" t="n"/>
      <c r="D10" s="20" t="n"/>
      <c r="E10" s="16" t="n"/>
    </row>
    <row r="11">
      <c r="A11" s="18" t="n"/>
      <c r="B11" s="16" t="n"/>
      <c r="C11" s="16" t="n"/>
      <c r="D11" s="20" t="n"/>
      <c r="E11" s="16" t="n"/>
    </row>
    <row r="12">
      <c r="A12" s="18" t="n"/>
      <c r="B12" s="16" t="n"/>
      <c r="C12" s="16" t="n"/>
      <c r="D12" s="20" t="n"/>
      <c r="E12" s="16" t="n"/>
    </row>
    <row r="13">
      <c r="A13" s="18" t="n"/>
      <c r="B13" s="16" t="n"/>
      <c r="C13" s="16" t="n"/>
      <c r="D13" s="20" t="n"/>
      <c r="E13" s="16" t="n"/>
    </row>
    <row r="14">
      <c r="A14" s="18" t="n"/>
      <c r="B14" s="16" t="n"/>
      <c r="C14" s="16" t="n"/>
      <c r="D14" s="20" t="n"/>
      <c r="E14" s="16" t="n"/>
    </row>
    <row r="15">
      <c r="A15" s="18" t="n"/>
      <c r="B15" s="16" t="n"/>
      <c r="C15" s="16" t="n"/>
      <c r="D15" s="20" t="n"/>
      <c r="E15" s="16" t="n"/>
    </row>
    <row r="16">
      <c r="A16" s="18" t="n"/>
      <c r="B16" s="16" t="n"/>
      <c r="C16" s="16" t="n"/>
      <c r="D16" s="20" t="n"/>
      <c r="E16" s="16" t="n"/>
    </row>
    <row r="17">
      <c r="A17" s="18" t="n"/>
      <c r="B17" s="16" t="n"/>
      <c r="C17" s="16" t="n"/>
      <c r="D17" s="20" t="n"/>
      <c r="E17" s="16" t="n"/>
    </row>
    <row r="18">
      <c r="A18" s="18" t="n"/>
      <c r="B18" s="16" t="n"/>
      <c r="C18" s="16" t="n"/>
      <c r="D18" s="20" t="n"/>
      <c r="E18" s="16" t="n"/>
    </row>
    <row r="19">
      <c r="A19" s="18" t="n"/>
      <c r="B19" s="16" t="n"/>
      <c r="C19" s="16" t="n"/>
      <c r="D19" s="20" t="n"/>
      <c r="E19" s="16" t="n"/>
    </row>
    <row r="20">
      <c r="A20" s="18" t="n"/>
      <c r="B20" s="16" t="n"/>
      <c r="C20" s="16" t="n"/>
      <c r="D20" s="20" t="n"/>
      <c r="E20" s="16" t="n"/>
    </row>
    <row r="21">
      <c r="A21" s="18" t="n"/>
      <c r="B21" s="16" t="n"/>
      <c r="C21" s="16" t="n"/>
      <c r="D21" s="20" t="n"/>
      <c r="E21" s="16" t="n"/>
    </row>
    <row r="22">
      <c r="A22" s="18" t="n"/>
      <c r="B22" s="16" t="n"/>
      <c r="C22" s="16" t="n"/>
      <c r="D22" s="20" t="n"/>
      <c r="E22" s="16" t="n"/>
    </row>
    <row r="23">
      <c r="A23" s="18" t="n"/>
      <c r="B23" s="16" t="n"/>
      <c r="C23" s="16" t="n"/>
      <c r="D23" s="20" t="n"/>
      <c r="E23" s="16" t="n"/>
    </row>
    <row r="24">
      <c r="A24" s="18" t="n"/>
      <c r="B24" s="16" t="n"/>
      <c r="C24" s="16" t="n"/>
      <c r="D24" s="20" t="n"/>
      <c r="E24" s="16" t="n"/>
    </row>
    <row r="25">
      <c r="A25" s="18" t="n"/>
      <c r="B25" s="16" t="n"/>
      <c r="C25" s="16" t="n"/>
      <c r="D25" s="20" t="n"/>
      <c r="E25" s="16" t="n"/>
    </row>
    <row r="26">
      <c r="A26" s="18" t="n"/>
      <c r="B26" s="16" t="n"/>
      <c r="C26" s="16" t="n"/>
      <c r="D26" s="20" t="n"/>
      <c r="E26" s="16" t="n"/>
    </row>
    <row r="27">
      <c r="A27" s="18" t="n"/>
      <c r="B27" s="16" t="n"/>
      <c r="C27" s="16" t="n"/>
      <c r="D27" s="20" t="n"/>
      <c r="E27" s="16" t="n"/>
    </row>
    <row r="28">
      <c r="A28" s="18" t="n"/>
      <c r="B28" s="16" t="n"/>
      <c r="C28" s="16" t="n"/>
      <c r="D28" s="20" t="n"/>
      <c r="E28" s="16" t="n"/>
    </row>
    <row r="29">
      <c r="A29" s="18" t="n"/>
      <c r="B29" s="16" t="n"/>
      <c r="C29" s="16" t="n"/>
      <c r="D29" s="20" t="n"/>
      <c r="E29" s="16" t="n"/>
    </row>
    <row r="30">
      <c r="A30" s="18" t="n"/>
      <c r="B30" s="16" t="n"/>
      <c r="C30" s="16" t="n"/>
      <c r="D30" s="20" t="n"/>
      <c r="E30" s="16" t="n"/>
    </row>
    <row r="31">
      <c r="A31" s="18" t="n"/>
      <c r="B31" s="16" t="n"/>
      <c r="C31" s="16" t="n"/>
      <c r="D31" s="20" t="n"/>
      <c r="E31" s="16" t="n"/>
    </row>
    <row r="32">
      <c r="A32" s="18" t="n"/>
      <c r="B32" s="16" t="n"/>
      <c r="C32" s="16" t="n"/>
      <c r="D32" s="20" t="n"/>
      <c r="E32" s="16" t="n"/>
    </row>
    <row r="33">
      <c r="A33" s="18" t="n"/>
      <c r="B33" s="16" t="n"/>
      <c r="C33" s="16" t="n"/>
      <c r="D33" s="20" t="n"/>
      <c r="E33" s="16" t="n"/>
    </row>
    <row r="34">
      <c r="A34" s="18" t="n"/>
      <c r="B34" s="16" t="n"/>
      <c r="C34" s="16" t="n"/>
      <c r="D34" s="20" t="n"/>
      <c r="E34" s="16" t="n"/>
    </row>
    <row r="35">
      <c r="A35" s="18" t="n"/>
      <c r="B35" s="16" t="n"/>
      <c r="C35" s="16" t="n"/>
      <c r="D35" s="20" t="n"/>
      <c r="E35" s="16" t="n"/>
    </row>
    <row r="36">
      <c r="A36" s="18" t="n"/>
      <c r="B36" s="16" t="n"/>
      <c r="C36" s="16" t="n"/>
      <c r="D36" s="20" t="n"/>
      <c r="E36" s="16" t="n"/>
    </row>
    <row r="37">
      <c r="A37" s="18" t="n"/>
      <c r="B37" s="16" t="n"/>
      <c r="C37" s="16" t="n"/>
      <c r="D37" s="20" t="n"/>
      <c r="E37" s="16" t="n"/>
    </row>
    <row r="38">
      <c r="A38" s="18" t="n"/>
      <c r="B38" s="16" t="n"/>
      <c r="C38" s="16" t="n"/>
      <c r="D38" s="20" t="n"/>
      <c r="E38" s="16" t="n"/>
    </row>
    <row r="39">
      <c r="A39" s="18" t="n"/>
      <c r="B39" s="16" t="n"/>
      <c r="C39" s="16" t="n"/>
      <c r="D39" s="20" t="n"/>
      <c r="E39" s="16" t="n"/>
    </row>
    <row r="40">
      <c r="A40" s="18" t="n"/>
      <c r="B40" s="16" t="n"/>
      <c r="C40" s="16" t="n"/>
      <c r="D40" s="20" t="n"/>
      <c r="E40" s="16" t="n"/>
    </row>
    <row r="41">
      <c r="A41" s="18" t="n"/>
      <c r="B41" s="16" t="n"/>
      <c r="C41" s="16" t="n"/>
      <c r="D41" s="20" t="n"/>
      <c r="E41" s="16" t="n"/>
    </row>
    <row r="42">
      <c r="A42" s="18" t="n"/>
      <c r="B42" s="16" t="n"/>
      <c r="C42" s="16" t="n"/>
      <c r="D42" s="20" t="n"/>
      <c r="E42" s="16" t="n"/>
    </row>
    <row r="43">
      <c r="A43" s="18" t="n"/>
      <c r="B43" s="16" t="n"/>
      <c r="C43" s="16" t="n"/>
      <c r="D43" s="20" t="n"/>
      <c r="E43" s="16" t="n"/>
    </row>
    <row r="44">
      <c r="A44" s="18" t="n"/>
      <c r="B44" s="16" t="n"/>
      <c r="C44" s="16" t="n"/>
      <c r="D44" s="20" t="n"/>
      <c r="E44" s="16" t="n"/>
    </row>
    <row r="45">
      <c r="A45" s="18" t="n"/>
      <c r="B45" s="16" t="n"/>
      <c r="C45" s="16" t="n"/>
      <c r="D45" s="20" t="n"/>
      <c r="E45" s="16" t="n"/>
    </row>
    <row r="46">
      <c r="A46" s="18" t="n"/>
      <c r="B46" s="16" t="n"/>
      <c r="C46" s="16" t="n"/>
      <c r="D46" s="20" t="n"/>
      <c r="E46" s="16" t="n"/>
    </row>
    <row r="47">
      <c r="A47" s="18" t="n"/>
      <c r="B47" s="16" t="n"/>
      <c r="C47" s="16" t="n"/>
      <c r="D47" s="20" t="n"/>
      <c r="E47" s="16" t="n"/>
    </row>
    <row r="48">
      <c r="A48" s="18" t="n"/>
      <c r="B48" s="16" t="n"/>
      <c r="C48" s="16" t="n"/>
      <c r="D48" s="20" t="n"/>
      <c r="E48" s="16" t="n"/>
    </row>
    <row r="49">
      <c r="A49" s="18" t="n"/>
      <c r="B49" s="16" t="n"/>
      <c r="C49" s="16" t="n"/>
      <c r="D49" s="20" t="n"/>
      <c r="E49" s="16" t="n"/>
    </row>
    <row r="50">
      <c r="A50" s="18" t="n"/>
      <c r="B50" s="16" t="n"/>
      <c r="C50" s="16" t="n"/>
      <c r="D50" s="20" t="n"/>
      <c r="E50" s="16" t="n"/>
    </row>
    <row r="51">
      <c r="A51" s="18" t="n"/>
      <c r="B51" s="16" t="n"/>
      <c r="C51" s="16" t="n"/>
      <c r="D51" s="20" t="n"/>
      <c r="E51" s="16" t="n"/>
    </row>
    <row r="52">
      <c r="A52" s="18" t="n"/>
      <c r="B52" s="16" t="n"/>
      <c r="C52" s="16" t="n"/>
      <c r="D52" s="20" t="n"/>
      <c r="E52" s="16" t="n"/>
    </row>
    <row r="53">
      <c r="A53" s="18" t="n"/>
      <c r="B53" s="16" t="n"/>
      <c r="C53" s="16" t="n"/>
      <c r="D53" s="20" t="n"/>
      <c r="E53" s="16" t="n"/>
    </row>
    <row r="54">
      <c r="A54" s="18" t="n"/>
      <c r="B54" s="16" t="n"/>
      <c r="C54" s="16" t="n"/>
      <c r="D54" s="20" t="n"/>
      <c r="E54" s="16" t="n"/>
    </row>
    <row r="55">
      <c r="A55" s="18" t="n"/>
      <c r="B55" s="16" t="n"/>
      <c r="C55" s="16" t="n"/>
      <c r="D55" s="20" t="n"/>
      <c r="E55" s="16" t="n"/>
    </row>
    <row r="56">
      <c r="A56" s="18" t="n"/>
      <c r="B56" s="16" t="n"/>
      <c r="C56" s="16" t="n"/>
      <c r="D56" s="20" t="n"/>
      <c r="E56" s="16" t="n"/>
    </row>
    <row r="57">
      <c r="A57" s="18" t="n"/>
      <c r="B57" s="16" t="n"/>
      <c r="C57" s="16" t="n"/>
      <c r="D57" s="20" t="n"/>
      <c r="E57" s="16" t="n"/>
    </row>
    <row r="58">
      <c r="A58" s="18" t="n"/>
      <c r="B58" s="16" t="n"/>
      <c r="C58" s="16" t="n"/>
      <c r="D58" s="20" t="n"/>
      <c r="E58" s="16" t="n"/>
    </row>
    <row r="59">
      <c r="A59" s="18" t="n"/>
      <c r="B59" s="16" t="n"/>
      <c r="C59" s="16" t="n"/>
      <c r="D59" s="20" t="n"/>
      <c r="E59" s="16" t="n"/>
    </row>
    <row r="60">
      <c r="A60" s="18" t="n"/>
      <c r="B60" s="16" t="n"/>
      <c r="C60" s="16" t="n"/>
      <c r="D60" s="20" t="n"/>
      <c r="E60" s="16" t="n"/>
    </row>
    <row r="61">
      <c r="A61" s="18" t="n"/>
      <c r="B61" s="16" t="n"/>
      <c r="C61" s="16" t="n"/>
      <c r="D61" s="20" t="n"/>
      <c r="E61" s="16" t="n"/>
    </row>
    <row r="62">
      <c r="A62" s="18" t="n"/>
      <c r="B62" s="16" t="n"/>
      <c r="C62" s="16" t="n"/>
      <c r="D62" s="20" t="n"/>
      <c r="E62" s="16" t="n"/>
    </row>
    <row r="63">
      <c r="A63" s="18" t="n"/>
      <c r="B63" s="16" t="n"/>
      <c r="C63" s="16" t="n"/>
      <c r="D63" s="20" t="n"/>
      <c r="E63" s="16" t="n"/>
    </row>
    <row r="64">
      <c r="A64" s="18" t="n"/>
      <c r="B64" s="16" t="n"/>
      <c r="C64" s="16" t="n"/>
      <c r="D64" s="20" t="n"/>
      <c r="E64" s="16" t="n"/>
    </row>
    <row r="65">
      <c r="A65" s="18" t="n"/>
      <c r="B65" s="16" t="n"/>
      <c r="C65" s="16" t="n"/>
      <c r="D65" s="20" t="n"/>
      <c r="E65" s="16" t="n"/>
    </row>
    <row r="66">
      <c r="A66" s="18" t="n"/>
      <c r="B66" s="16" t="n"/>
      <c r="C66" s="16" t="n"/>
      <c r="D66" s="20" t="n"/>
      <c r="E66" s="16" t="n"/>
    </row>
    <row r="67">
      <c r="A67" s="18" t="n"/>
      <c r="B67" s="16" t="n"/>
      <c r="C67" s="16" t="n"/>
      <c r="D67" s="20" t="n"/>
      <c r="E67" s="16" t="n"/>
    </row>
    <row r="68">
      <c r="A68" s="18" t="n"/>
      <c r="B68" s="16" t="n"/>
      <c r="C68" s="16" t="n"/>
      <c r="D68" s="20" t="n"/>
      <c r="E68" s="16" t="n"/>
    </row>
    <row r="69">
      <c r="A69" s="18" t="n"/>
      <c r="B69" s="16" t="n"/>
      <c r="C69" s="16" t="n"/>
      <c r="D69" s="20" t="n"/>
      <c r="E69" s="16" t="n"/>
    </row>
    <row r="70">
      <c r="A70" s="18" t="n"/>
      <c r="B70" s="16" t="n"/>
      <c r="C70" s="16" t="n"/>
      <c r="D70" s="20" t="n"/>
      <c r="E70" s="16" t="n"/>
    </row>
    <row r="71">
      <c r="A71" s="18" t="n"/>
      <c r="B71" s="16" t="n"/>
      <c r="C71" s="16" t="n"/>
      <c r="D71" s="20" t="n"/>
      <c r="E71" s="16" t="n"/>
    </row>
    <row r="72">
      <c r="A72" s="18" t="n"/>
      <c r="B72" s="16" t="n"/>
      <c r="C72" s="16" t="n"/>
      <c r="D72" s="20" t="n"/>
      <c r="E72" s="16" t="n"/>
    </row>
    <row r="73">
      <c r="A73" s="18" t="n"/>
      <c r="B73" s="16" t="n"/>
      <c r="C73" s="16" t="n"/>
      <c r="D73" s="20" t="n"/>
      <c r="E73" s="16" t="n"/>
    </row>
    <row r="74">
      <c r="A74" s="18" t="n"/>
      <c r="B74" s="16" t="n"/>
      <c r="C74" s="16" t="n"/>
      <c r="D74" s="20" t="n"/>
      <c r="E74" s="16" t="n"/>
    </row>
    <row r="75">
      <c r="A75" s="18" t="n"/>
      <c r="B75" s="16" t="n"/>
      <c r="C75" s="16" t="n"/>
      <c r="D75" s="20" t="n"/>
      <c r="E75" s="16" t="n"/>
    </row>
    <row r="76">
      <c r="A76" s="18" t="n"/>
      <c r="B76" s="16" t="n"/>
      <c r="C76" s="16" t="n"/>
      <c r="D76" s="20" t="n"/>
      <c r="E76" s="16" t="n"/>
    </row>
    <row r="77">
      <c r="A77" s="18" t="n"/>
      <c r="B77" s="16" t="n"/>
      <c r="C77" s="16" t="n"/>
      <c r="D77" s="20" t="n"/>
      <c r="E77" s="16" t="n"/>
    </row>
    <row r="78">
      <c r="A78" s="18" t="n"/>
      <c r="B78" s="16" t="n"/>
      <c r="C78" s="16" t="n"/>
      <c r="D78" s="20" t="n"/>
      <c r="E78" s="16" t="n"/>
    </row>
    <row r="79">
      <c r="A79" s="18" t="n"/>
      <c r="B79" s="16" t="n"/>
      <c r="C79" s="16" t="n"/>
      <c r="D79" s="20" t="n"/>
      <c r="E79" s="16" t="n"/>
    </row>
    <row r="80">
      <c r="A80" s="18" t="n"/>
      <c r="B80" s="16" t="n"/>
      <c r="C80" s="16" t="n"/>
      <c r="D80" s="20" t="n"/>
      <c r="E80" s="16" t="n"/>
    </row>
    <row r="81">
      <c r="A81" s="18" t="n"/>
      <c r="B81" s="16" t="n"/>
      <c r="C81" s="16" t="n"/>
      <c r="D81" s="20" t="n"/>
      <c r="E81" s="16" t="n"/>
    </row>
    <row r="82">
      <c r="A82" s="18" t="n"/>
      <c r="B82" s="16" t="n"/>
      <c r="C82" s="16" t="n"/>
      <c r="D82" s="20" t="n"/>
      <c r="E82" s="16" t="n"/>
    </row>
    <row r="83">
      <c r="A83" s="18" t="n"/>
      <c r="B83" s="16" t="n"/>
      <c r="C83" s="16" t="n"/>
      <c r="D83" s="20" t="n"/>
      <c r="E83" s="16" t="n"/>
    </row>
    <row r="84">
      <c r="A84" s="18" t="n"/>
      <c r="B84" s="16" t="n"/>
      <c r="C84" s="16" t="n"/>
      <c r="D84" s="20" t="n"/>
      <c r="E84" s="16" t="n"/>
    </row>
    <row r="85">
      <c r="A85" s="18" t="n"/>
      <c r="B85" s="16" t="n"/>
      <c r="C85" s="16" t="n"/>
      <c r="D85" s="20" t="n"/>
      <c r="E85" s="16" t="n"/>
    </row>
    <row r="86">
      <c r="A86" s="18" t="n"/>
      <c r="B86" s="16" t="n"/>
      <c r="C86" s="16" t="n"/>
      <c r="D86" s="20" t="n"/>
      <c r="E86" s="16" t="n"/>
    </row>
    <row r="87">
      <c r="A87" s="18" t="n"/>
      <c r="B87" s="16" t="n"/>
      <c r="C87" s="16" t="n"/>
      <c r="D87" s="20" t="n"/>
      <c r="E87" s="16" t="n"/>
    </row>
    <row r="88">
      <c r="A88" s="18" t="n"/>
      <c r="B88" s="16" t="n"/>
      <c r="C88" s="16" t="n"/>
      <c r="D88" s="20" t="n"/>
      <c r="E88" s="16" t="n"/>
    </row>
    <row r="89">
      <c r="A89" s="18" t="n"/>
      <c r="B89" s="16" t="n"/>
      <c r="C89" s="16" t="n"/>
      <c r="D89" s="20" t="n"/>
      <c r="E89" s="16" t="n"/>
    </row>
    <row r="90">
      <c r="A90" s="18" t="n"/>
      <c r="B90" s="16" t="n"/>
      <c r="C90" s="16" t="n"/>
      <c r="D90" s="20" t="n"/>
      <c r="E90" s="16" t="n"/>
    </row>
    <row r="91">
      <c r="A91" s="18" t="n"/>
      <c r="B91" s="16" t="n"/>
      <c r="C91" s="16" t="n"/>
      <c r="D91" s="20" t="n"/>
      <c r="E91" s="16" t="n"/>
    </row>
    <row r="92">
      <c r="A92" s="18" t="n"/>
      <c r="B92" s="16" t="n"/>
      <c r="C92" s="16" t="n"/>
      <c r="D92" s="20" t="n"/>
      <c r="E92" s="16" t="n"/>
    </row>
    <row r="93">
      <c r="A93" s="18" t="n"/>
      <c r="B93" s="16" t="n"/>
      <c r="C93" s="16" t="n"/>
      <c r="D93" s="20" t="n"/>
      <c r="E93" s="16" t="n"/>
    </row>
    <row r="94">
      <c r="A94" s="18" t="n"/>
      <c r="B94" s="16" t="n"/>
      <c r="C94" s="16" t="n"/>
      <c r="D94" s="20" t="n"/>
      <c r="E94" s="16" t="n"/>
    </row>
    <row r="95">
      <c r="A95" s="18" t="n"/>
      <c r="B95" s="16" t="n"/>
      <c r="C95" s="16" t="n"/>
      <c r="D95" s="20" t="n"/>
      <c r="E95" s="16" t="n"/>
    </row>
    <row r="96">
      <c r="A96" s="18" t="n"/>
      <c r="B96" s="16" t="n"/>
      <c r="C96" s="16" t="n"/>
      <c r="D96" s="20" t="n"/>
      <c r="E96" s="16" t="n"/>
    </row>
    <row r="97">
      <c r="A97" s="18" t="n"/>
      <c r="B97" s="16" t="n"/>
      <c r="C97" s="16" t="n"/>
      <c r="D97" s="20" t="n"/>
      <c r="E97" s="16" t="n"/>
    </row>
    <row r="98">
      <c r="A98" s="18" t="n"/>
      <c r="B98" s="16" t="n"/>
      <c r="C98" s="16" t="n"/>
      <c r="D98" s="20" t="n"/>
      <c r="E98" s="16" t="n"/>
    </row>
    <row r="99">
      <c r="A99" s="18" t="n"/>
      <c r="B99" s="16" t="n"/>
      <c r="C99" s="16" t="n"/>
      <c r="D99" s="20" t="n"/>
      <c r="E99" s="16" t="n"/>
    </row>
    <row r="100">
      <c r="A100" s="18" t="n"/>
      <c r="B100" s="16" t="n"/>
      <c r="C100" s="16" t="n"/>
      <c r="D100" s="20" t="n"/>
      <c r="E100" s="16" t="n"/>
    </row>
    <row r="101">
      <c r="A101" s="18" t="n"/>
      <c r="B101" s="16" t="n"/>
      <c r="C101" s="16" t="n"/>
      <c r="D101" s="20" t="n"/>
      <c r="E101" s="16" t="n"/>
    </row>
    <row r="102">
      <c r="A102" s="18" t="n"/>
      <c r="B102" s="16" t="n"/>
      <c r="C102" s="16" t="n"/>
      <c r="D102" s="20" t="n"/>
      <c r="E102" s="16" t="n"/>
    </row>
    <row r="103">
      <c r="A103" s="18" t="n"/>
      <c r="B103" s="16" t="n"/>
      <c r="C103" s="16" t="n"/>
      <c r="D103" s="20" t="n"/>
      <c r="E103" s="16" t="n"/>
    </row>
    <row r="104">
      <c r="A104" s="18" t="n"/>
      <c r="B104" s="16" t="n"/>
      <c r="C104" s="16" t="n"/>
      <c r="D104" s="20" t="n"/>
      <c r="E104" s="16" t="n"/>
    </row>
    <row r="105">
      <c r="A105" s="18" t="n"/>
      <c r="B105" s="16" t="n"/>
      <c r="C105" s="16" t="n"/>
      <c r="D105" s="20" t="n"/>
      <c r="E105" s="16" t="n"/>
    </row>
    <row r="106">
      <c r="A106" s="18" t="n"/>
      <c r="B106" s="16" t="n"/>
      <c r="C106" s="16" t="n"/>
      <c r="D106" s="20" t="n"/>
      <c r="E106" s="16" t="n"/>
    </row>
    <row r="107">
      <c r="A107" s="18" t="n"/>
      <c r="B107" s="16" t="n"/>
      <c r="C107" s="16" t="n"/>
      <c r="D107" s="20" t="n"/>
      <c r="E107" s="16" t="n"/>
    </row>
    <row r="108">
      <c r="A108" s="18" t="n"/>
      <c r="B108" s="16" t="n"/>
      <c r="C108" s="16" t="n"/>
      <c r="D108" s="20" t="n"/>
      <c r="E108" s="16" t="n"/>
    </row>
    <row r="109">
      <c r="A109" s="18" t="n"/>
      <c r="B109" s="16" t="n"/>
      <c r="C109" s="16" t="n"/>
      <c r="D109" s="20" t="n"/>
      <c r="E109" s="16" t="n"/>
    </row>
    <row r="110">
      <c r="A110" s="18" t="n"/>
      <c r="B110" s="16" t="n"/>
      <c r="C110" s="16" t="n"/>
      <c r="D110" s="20" t="n"/>
      <c r="E110" s="16" t="n"/>
    </row>
    <row r="111">
      <c r="A111" s="18" t="n"/>
      <c r="B111" s="16" t="n"/>
      <c r="C111" s="16" t="n"/>
      <c r="D111" s="20" t="n"/>
      <c r="E111" s="16" t="n"/>
    </row>
    <row r="112">
      <c r="A112" s="18" t="n"/>
      <c r="B112" s="16" t="n"/>
      <c r="C112" s="16" t="n"/>
      <c r="D112" s="20" t="n"/>
      <c r="E112" s="16" t="n"/>
    </row>
    <row r="113">
      <c r="A113" s="18" t="n"/>
      <c r="B113" s="16" t="n"/>
      <c r="C113" s="16" t="n"/>
      <c r="D113" s="20" t="n"/>
      <c r="E113" s="16" t="n"/>
    </row>
    <row r="114">
      <c r="A114" s="18" t="n"/>
      <c r="B114" s="16" t="n"/>
      <c r="C114" s="16" t="n"/>
      <c r="D114" s="20" t="n"/>
      <c r="E114" s="16" t="n"/>
    </row>
    <row r="115">
      <c r="A115" s="18" t="n"/>
      <c r="B115" s="16" t="n"/>
      <c r="C115" s="16" t="n"/>
      <c r="D115" s="20" t="n"/>
      <c r="E115" s="16" t="n"/>
    </row>
    <row r="116">
      <c r="A116" s="18" t="n"/>
      <c r="B116" s="16" t="n"/>
      <c r="C116" s="16" t="n"/>
      <c r="D116" s="20" t="n"/>
      <c r="E116" s="16" t="n"/>
    </row>
    <row r="117">
      <c r="A117" s="18" t="n"/>
      <c r="B117" s="16" t="n"/>
      <c r="C117" s="16" t="n"/>
      <c r="D117" s="20" t="n"/>
      <c r="E117" s="16" t="n"/>
    </row>
    <row r="118">
      <c r="A118" s="18" t="n"/>
      <c r="B118" s="16" t="n"/>
      <c r="C118" s="16" t="n"/>
      <c r="D118" s="20" t="n"/>
      <c r="E118" s="16" t="n"/>
    </row>
    <row r="119">
      <c r="A119" s="18" t="n"/>
      <c r="B119" s="16" t="n"/>
      <c r="C119" s="16" t="n"/>
      <c r="D119" s="20" t="n"/>
      <c r="E119" s="16" t="n"/>
    </row>
    <row r="120">
      <c r="A120" s="18" t="n"/>
      <c r="B120" s="16" t="n"/>
      <c r="C120" s="16" t="n"/>
      <c r="D120" s="20" t="n"/>
      <c r="E120" s="16" t="n"/>
    </row>
    <row r="121">
      <c r="A121" s="18" t="n"/>
      <c r="B121" s="16" t="n"/>
      <c r="C121" s="16" t="n"/>
      <c r="D121" s="20" t="n"/>
      <c r="E121" s="16" t="n"/>
    </row>
    <row r="122">
      <c r="A122" s="18" t="n"/>
      <c r="B122" s="16" t="n"/>
      <c r="C122" s="16" t="n"/>
      <c r="D122" s="20" t="n"/>
      <c r="E122" s="16" t="n"/>
    </row>
    <row r="123">
      <c r="A123" s="18" t="n"/>
      <c r="B123" s="16" t="n"/>
      <c r="C123" s="16" t="n"/>
      <c r="D123" s="20" t="n"/>
      <c r="E123" s="16" t="n"/>
    </row>
    <row r="124">
      <c r="A124" s="18" t="n"/>
      <c r="B124" s="16" t="n"/>
      <c r="C124" s="16" t="n"/>
      <c r="D124" s="20" t="n"/>
      <c r="E124" s="16" t="n"/>
    </row>
    <row r="125">
      <c r="A125" s="18" t="n"/>
      <c r="B125" s="16" t="n"/>
      <c r="C125" s="16" t="n"/>
      <c r="D125" s="20" t="n"/>
      <c r="E125" s="16" t="n"/>
    </row>
    <row r="126">
      <c r="A126" s="18" t="n"/>
      <c r="B126" s="16" t="n"/>
      <c r="C126" s="16" t="n"/>
      <c r="D126" s="20" t="n"/>
      <c r="E126" s="16" t="n"/>
    </row>
    <row r="127">
      <c r="A127" s="18" t="n"/>
      <c r="B127" s="16" t="n"/>
      <c r="C127" s="16" t="n"/>
      <c r="D127" s="20" t="n"/>
      <c r="E127" s="16" t="n"/>
    </row>
    <row r="128">
      <c r="A128" s="18" t="n"/>
      <c r="B128" s="16" t="n"/>
      <c r="C128" s="16" t="n"/>
      <c r="D128" s="20" t="n"/>
      <c r="E128" s="16" t="n"/>
    </row>
    <row r="129">
      <c r="A129" s="18" t="n"/>
      <c r="B129" s="16" t="n"/>
      <c r="C129" s="16" t="n"/>
      <c r="D129" s="20" t="n"/>
      <c r="E129" s="16" t="n"/>
    </row>
    <row r="130">
      <c r="A130" s="18" t="n"/>
      <c r="B130" s="16" t="n"/>
      <c r="C130" s="16" t="n"/>
      <c r="D130" s="20" t="n"/>
      <c r="E130" s="16" t="n"/>
    </row>
    <row r="131">
      <c r="A131" s="18" t="n"/>
      <c r="B131" s="16" t="n"/>
      <c r="C131" s="16" t="n"/>
      <c r="D131" s="20" t="n"/>
      <c r="E131" s="16" t="n"/>
    </row>
    <row r="132">
      <c r="A132" s="18" t="n"/>
      <c r="B132" s="16" t="n"/>
      <c r="C132" s="16" t="n"/>
      <c r="D132" s="20" t="n"/>
      <c r="E132" s="16" t="n"/>
    </row>
    <row r="133">
      <c r="A133" s="18" t="n"/>
      <c r="B133" s="16" t="n"/>
      <c r="C133" s="16" t="n"/>
      <c r="D133" s="20" t="n"/>
      <c r="E133" s="16" t="n"/>
    </row>
    <row r="134">
      <c r="A134" s="18" t="n"/>
      <c r="B134" s="16" t="n"/>
      <c r="C134" s="16" t="n"/>
      <c r="D134" s="20" t="n"/>
      <c r="E134" s="16" t="n"/>
    </row>
    <row r="135">
      <c r="A135" s="18" t="n"/>
      <c r="B135" s="16" t="n"/>
      <c r="C135" s="16" t="n"/>
      <c r="D135" s="20" t="n"/>
      <c r="E135" s="16" t="n"/>
    </row>
    <row r="136">
      <c r="A136" s="18" t="n"/>
      <c r="B136" s="16" t="n"/>
      <c r="C136" s="16" t="n"/>
      <c r="D136" s="20" t="n"/>
      <c r="E136" s="16" t="n"/>
    </row>
    <row r="137">
      <c r="A137" s="18" t="n"/>
      <c r="B137" s="16" t="n"/>
      <c r="C137" s="16" t="n"/>
      <c r="D137" s="20" t="n"/>
      <c r="E137" s="16" t="n"/>
    </row>
    <row r="138">
      <c r="A138" s="18" t="n"/>
      <c r="B138" s="16" t="n"/>
      <c r="C138" s="16" t="n"/>
      <c r="D138" s="20" t="n"/>
      <c r="E138" s="16" t="n"/>
    </row>
    <row r="139">
      <c r="A139" s="18" t="n"/>
      <c r="B139" s="16" t="n"/>
      <c r="C139" s="16" t="n"/>
      <c r="D139" s="20" t="n"/>
      <c r="E139" s="16" t="n"/>
    </row>
    <row r="140">
      <c r="A140" s="18" t="n"/>
      <c r="B140" s="16" t="n"/>
      <c r="C140" s="16" t="n"/>
      <c r="D140" s="20" t="n"/>
      <c r="E140" s="16" t="n"/>
    </row>
    <row r="141">
      <c r="A141" s="18" t="n"/>
      <c r="B141" s="16" t="n"/>
      <c r="C141" s="16" t="n"/>
      <c r="D141" s="20" t="n"/>
      <c r="E141" s="16" t="n"/>
    </row>
    <row r="142">
      <c r="A142" s="18" t="n"/>
      <c r="B142" s="16" t="n"/>
      <c r="C142" s="16" t="n"/>
      <c r="D142" s="20" t="n"/>
      <c r="E142" s="16" t="n"/>
    </row>
    <row r="143">
      <c r="A143" s="18" t="n"/>
      <c r="B143" s="16" t="n"/>
      <c r="C143" s="16" t="n"/>
      <c r="D143" s="20" t="n"/>
      <c r="E143" s="16" t="n"/>
    </row>
    <row r="144">
      <c r="A144" s="18" t="n"/>
      <c r="B144" s="16" t="n"/>
      <c r="C144" s="16" t="n"/>
      <c r="D144" s="20" t="n"/>
      <c r="E144" s="16" t="n"/>
    </row>
    <row r="145">
      <c r="A145" s="18" t="n"/>
      <c r="B145" s="16" t="n"/>
      <c r="C145" s="16" t="n"/>
      <c r="D145" s="20" t="n"/>
      <c r="E145" s="16" t="n"/>
    </row>
    <row r="146">
      <c r="A146" s="18" t="n"/>
      <c r="B146" s="16" t="n"/>
      <c r="C146" s="16" t="n"/>
      <c r="D146" s="20" t="n"/>
      <c r="E146" s="16" t="n"/>
    </row>
    <row r="147">
      <c r="A147" s="18" t="n"/>
      <c r="B147" s="16" t="n"/>
      <c r="C147" s="16" t="n"/>
      <c r="D147" s="20" t="n"/>
      <c r="E147" s="16" t="n"/>
    </row>
    <row r="148">
      <c r="A148" s="18" t="n"/>
      <c r="B148" s="16" t="n"/>
      <c r="C148" s="16" t="n"/>
      <c r="D148" s="20" t="n"/>
      <c r="E148" s="16" t="n"/>
    </row>
    <row r="149">
      <c r="A149" s="18" t="n"/>
      <c r="B149" s="16" t="n"/>
      <c r="C149" s="16" t="n"/>
      <c r="D149" s="20" t="n"/>
      <c r="E149" s="16" t="n"/>
    </row>
    <row r="150">
      <c r="A150" s="18" t="n"/>
      <c r="B150" s="16" t="n"/>
      <c r="C150" s="16" t="n"/>
      <c r="D150" s="20" t="n"/>
      <c r="E150" s="16" t="n"/>
    </row>
    <row r="151">
      <c r="A151" s="18" t="n"/>
      <c r="B151" s="16" t="n"/>
      <c r="C151" s="16" t="n"/>
      <c r="D151" s="20" t="n"/>
      <c r="E151" s="16" t="n"/>
    </row>
    <row r="152">
      <c r="A152" s="18" t="n"/>
      <c r="B152" s="16" t="n"/>
      <c r="C152" s="16" t="n"/>
      <c r="D152" s="20" t="n"/>
      <c r="E152" s="16" t="n"/>
    </row>
    <row r="153">
      <c r="A153" s="18" t="n"/>
      <c r="B153" s="16" t="n"/>
      <c r="C153" s="16" t="n"/>
      <c r="D153" s="20" t="n"/>
      <c r="E153" s="16" t="n"/>
    </row>
    <row r="154">
      <c r="A154" s="18" t="n"/>
      <c r="B154" s="16" t="n"/>
      <c r="C154" s="16" t="n"/>
      <c r="D154" s="20" t="n"/>
      <c r="E154" s="16" t="n"/>
    </row>
    <row r="155">
      <c r="A155" s="18" t="n"/>
      <c r="B155" s="16" t="n"/>
      <c r="C155" s="16" t="n"/>
      <c r="D155" s="20" t="n"/>
      <c r="E155" s="16" t="n"/>
    </row>
    <row r="156">
      <c r="A156" s="18" t="n"/>
      <c r="B156" s="16" t="n"/>
      <c r="C156" s="16" t="n"/>
      <c r="D156" s="20" t="n"/>
      <c r="E156" s="16" t="n"/>
    </row>
    <row r="157">
      <c r="A157" s="18" t="n"/>
      <c r="B157" s="16" t="n"/>
      <c r="C157" s="16" t="n"/>
      <c r="D157" s="20" t="n"/>
      <c r="E157" s="16" t="n"/>
    </row>
    <row r="158">
      <c r="A158" s="18" t="n"/>
      <c r="B158" s="16" t="n"/>
      <c r="C158" s="16" t="n"/>
      <c r="D158" s="20" t="n"/>
      <c r="E158" s="16" t="n"/>
    </row>
    <row r="159">
      <c r="A159" s="18" t="n"/>
      <c r="B159" s="16" t="n"/>
      <c r="C159" s="16" t="n"/>
      <c r="D159" s="20" t="n"/>
      <c r="E159" s="16" t="n"/>
    </row>
    <row r="160">
      <c r="A160" s="18" t="n"/>
      <c r="B160" s="16" t="n"/>
      <c r="C160" s="16" t="n"/>
      <c r="D160" s="20" t="n"/>
      <c r="E160" s="16" t="n"/>
    </row>
    <row r="161">
      <c r="A161" s="18" t="n"/>
      <c r="B161" s="16" t="n"/>
      <c r="C161" s="16" t="n"/>
      <c r="D161" s="20" t="n"/>
      <c r="E161" s="16" t="n"/>
    </row>
    <row r="162">
      <c r="A162" s="18" t="n"/>
      <c r="B162" s="16" t="n"/>
      <c r="C162" s="16" t="n"/>
      <c r="D162" s="20" t="n"/>
      <c r="E162" s="16" t="n"/>
    </row>
    <row r="163">
      <c r="A163" s="18" t="n"/>
      <c r="B163" s="16" t="n"/>
      <c r="C163" s="16" t="n"/>
      <c r="D163" s="20" t="n"/>
      <c r="E163" s="16" t="n"/>
    </row>
    <row r="164">
      <c r="A164" s="18" t="n"/>
      <c r="B164" s="16" t="n"/>
      <c r="C164" s="16" t="n"/>
      <c r="D164" s="20" t="n"/>
      <c r="E164" s="16" t="n"/>
    </row>
    <row r="165">
      <c r="A165" s="18" t="n"/>
      <c r="B165" s="16" t="n"/>
      <c r="C165" s="16" t="n"/>
      <c r="D165" s="20" t="n"/>
      <c r="E165" s="16" t="n"/>
    </row>
    <row r="166">
      <c r="A166" s="18" t="n"/>
      <c r="B166" s="16" t="n"/>
      <c r="C166" s="16" t="n"/>
      <c r="D166" s="20" t="n"/>
      <c r="E166" s="16" t="n"/>
    </row>
    <row r="167">
      <c r="A167" s="18" t="n"/>
      <c r="B167" s="16" t="n"/>
      <c r="C167" s="16" t="n"/>
      <c r="D167" s="20" t="n"/>
      <c r="E167" s="16" t="n"/>
    </row>
    <row r="168">
      <c r="A168" s="18" t="n"/>
      <c r="B168" s="16" t="n"/>
      <c r="C168" s="16" t="n"/>
      <c r="D168" s="20" t="n"/>
      <c r="E168" s="16" t="n"/>
    </row>
    <row r="169">
      <c r="A169" s="18" t="n"/>
      <c r="B169" s="16" t="n"/>
      <c r="C169" s="16" t="n"/>
      <c r="D169" s="20" t="n"/>
      <c r="E169" s="16" t="n"/>
    </row>
    <row r="170">
      <c r="A170" s="18" t="n"/>
      <c r="B170" s="16" t="n"/>
      <c r="C170" s="16" t="n"/>
      <c r="D170" s="20" t="n"/>
      <c r="E170" s="16" t="n"/>
    </row>
    <row r="171">
      <c r="A171" s="18" t="n"/>
      <c r="B171" s="16" t="n"/>
      <c r="C171" s="16" t="n"/>
      <c r="D171" s="20" t="n"/>
      <c r="E171" s="16" t="n"/>
    </row>
    <row r="172">
      <c r="A172" s="18" t="n"/>
      <c r="B172" s="16" t="n"/>
      <c r="C172" s="16" t="n"/>
      <c r="D172" s="20" t="n"/>
      <c r="E172" s="16" t="n"/>
    </row>
    <row r="173">
      <c r="A173" s="18" t="n"/>
      <c r="B173" s="16" t="n"/>
      <c r="C173" s="16" t="n"/>
      <c r="D173" s="20" t="n"/>
      <c r="E173" s="16" t="n"/>
    </row>
    <row r="174">
      <c r="A174" s="18" t="n"/>
      <c r="B174" s="16" t="n"/>
      <c r="C174" s="16" t="n"/>
      <c r="D174" s="20" t="n"/>
      <c r="E174" s="16" t="n"/>
    </row>
    <row r="175">
      <c r="A175" s="18" t="n"/>
      <c r="B175" s="16" t="n"/>
      <c r="C175" s="16" t="n"/>
      <c r="D175" s="20" t="n"/>
      <c r="E175" s="16" t="n"/>
    </row>
    <row r="176">
      <c r="A176" s="18" t="n"/>
      <c r="B176" s="16" t="n"/>
      <c r="C176" s="16" t="n"/>
      <c r="D176" s="20" t="n"/>
      <c r="E176" s="16" t="n"/>
    </row>
    <row r="177">
      <c r="A177" s="18" t="n"/>
      <c r="B177" s="16" t="n"/>
      <c r="C177" s="16" t="n"/>
      <c r="D177" s="20" t="n"/>
      <c r="E177" s="16" t="n"/>
    </row>
    <row r="178">
      <c r="A178" s="18" t="n"/>
      <c r="B178" s="16" t="n"/>
      <c r="C178" s="16" t="n"/>
      <c r="D178" s="20" t="n"/>
      <c r="E178" s="16" t="n"/>
    </row>
    <row r="179">
      <c r="A179" s="18" t="n"/>
      <c r="B179" s="16" t="n"/>
      <c r="C179" s="16" t="n"/>
      <c r="D179" s="20" t="n"/>
      <c r="E179" s="16" t="n"/>
    </row>
    <row r="180">
      <c r="A180" s="18" t="n"/>
      <c r="B180" s="16" t="n"/>
      <c r="C180" s="16" t="n"/>
      <c r="D180" s="20" t="n"/>
      <c r="E180" s="16" t="n"/>
    </row>
    <row r="181">
      <c r="A181" s="18" t="n"/>
      <c r="B181" s="16" t="n"/>
      <c r="C181" s="16" t="n"/>
      <c r="D181" s="20" t="n"/>
      <c r="E181" s="16" t="n"/>
    </row>
    <row r="182">
      <c r="A182" s="18" t="n"/>
      <c r="B182" s="16" t="n"/>
      <c r="C182" s="16" t="n"/>
      <c r="D182" s="20" t="n"/>
      <c r="E182" s="16" t="n"/>
    </row>
    <row r="183">
      <c r="A183" s="18" t="n"/>
      <c r="B183" s="16" t="n"/>
      <c r="C183" s="16" t="n"/>
      <c r="D183" s="20" t="n"/>
      <c r="E183" s="16" t="n"/>
    </row>
    <row r="184">
      <c r="A184" s="18" t="n"/>
      <c r="B184" s="16" t="n"/>
      <c r="C184" s="16" t="n"/>
      <c r="D184" s="20" t="n"/>
      <c r="E184" s="16" t="n"/>
    </row>
    <row r="185">
      <c r="A185" s="18" t="n"/>
      <c r="B185" s="16" t="n"/>
      <c r="C185" s="16" t="n"/>
      <c r="D185" s="20" t="n"/>
      <c r="E185" s="16" t="n"/>
    </row>
    <row r="186">
      <c r="A186" s="18" t="n"/>
      <c r="B186" s="16" t="n"/>
      <c r="C186" s="16" t="n"/>
      <c r="D186" s="20" t="n"/>
      <c r="E186" s="16" t="n"/>
    </row>
    <row r="187">
      <c r="A187" s="18" t="n"/>
      <c r="B187" s="16" t="n"/>
      <c r="C187" s="16" t="n"/>
      <c r="D187" s="20" t="n"/>
      <c r="E187" s="16" t="n"/>
    </row>
    <row r="188">
      <c r="A188" s="18" t="n"/>
      <c r="B188" s="16" t="n"/>
      <c r="C188" s="16" t="n"/>
      <c r="D188" s="20" t="n"/>
      <c r="E188" s="16" t="n"/>
    </row>
    <row r="189">
      <c r="A189" s="18" t="n"/>
      <c r="B189" s="16" t="n"/>
      <c r="C189" s="16" t="n"/>
      <c r="D189" s="20" t="n"/>
      <c r="E189" s="16" t="n"/>
    </row>
    <row r="190">
      <c r="A190" s="18" t="n"/>
      <c r="B190" s="16" t="n"/>
      <c r="C190" s="16" t="n"/>
      <c r="D190" s="20" t="n"/>
      <c r="E190" s="16" t="n"/>
    </row>
    <row r="191">
      <c r="A191" s="18" t="n"/>
      <c r="B191" s="16" t="n"/>
      <c r="C191" s="16" t="n"/>
      <c r="D191" s="20" t="n"/>
      <c r="E191" s="16" t="n"/>
    </row>
    <row r="192">
      <c r="A192" s="18" t="n"/>
      <c r="B192" s="16" t="n"/>
      <c r="C192" s="16" t="n"/>
      <c r="D192" s="20" t="n"/>
      <c r="E192" s="16" t="n"/>
    </row>
    <row r="193">
      <c r="A193" s="18" t="n"/>
      <c r="B193" s="16" t="n"/>
      <c r="C193" s="16" t="n"/>
      <c r="D193" s="20" t="n"/>
      <c r="E193" s="16" t="n"/>
    </row>
    <row r="194">
      <c r="A194" s="18" t="n"/>
      <c r="B194" s="16" t="n"/>
      <c r="C194" s="16" t="n"/>
      <c r="D194" s="20" t="n"/>
      <c r="E194" s="16" t="n"/>
    </row>
    <row r="195">
      <c r="A195" s="18" t="n"/>
      <c r="B195" s="16" t="n"/>
      <c r="C195" s="16" t="n"/>
      <c r="D195" s="20" t="n"/>
      <c r="E195" s="16" t="n"/>
    </row>
    <row r="196">
      <c r="A196" s="18" t="n"/>
      <c r="B196" s="16" t="n"/>
      <c r="C196" s="16" t="n"/>
      <c r="D196" s="20" t="n"/>
      <c r="E196" s="16" t="n"/>
    </row>
    <row r="197">
      <c r="A197" s="18" t="n"/>
      <c r="B197" s="16" t="n"/>
      <c r="C197" s="16" t="n"/>
      <c r="D197" s="20" t="n"/>
      <c r="E197" s="16" t="n"/>
    </row>
    <row r="198">
      <c r="A198" s="18" t="n"/>
      <c r="B198" s="16" t="n"/>
      <c r="C198" s="16" t="n"/>
      <c r="D198" s="20" t="n"/>
      <c r="E198" s="16" t="n"/>
    </row>
    <row r="199">
      <c r="A199" s="18" t="n"/>
      <c r="B199" s="16" t="n"/>
      <c r="C199" s="16" t="n"/>
      <c r="D199" s="20" t="n"/>
      <c r="E199" s="16" t="n"/>
    </row>
    <row r="200">
      <c r="A200" s="18" t="n"/>
      <c r="B200" s="16" t="n"/>
      <c r="C200" s="16" t="n"/>
      <c r="D200" s="20" t="n"/>
      <c r="E200" s="16" t="n"/>
    </row>
    <row r="201">
      <c r="A201" s="18" t="n"/>
      <c r="B201" s="16" t="n"/>
      <c r="C201" s="16" t="n"/>
      <c r="D201" s="20" t="n"/>
      <c r="E201" s="16" t="n"/>
    </row>
    <row r="202">
      <c r="A202" s="18" t="n"/>
      <c r="B202" s="16" t="n"/>
      <c r="C202" s="16" t="n"/>
      <c r="D202" s="20" t="n"/>
      <c r="E202" s="16" t="n"/>
    </row>
    <row r="203">
      <c r="A203" s="18" t="n"/>
      <c r="B203" s="16" t="n"/>
      <c r="C203" s="16" t="n"/>
      <c r="D203" s="20" t="n"/>
      <c r="E203" s="16" t="n"/>
    </row>
    <row r="204">
      <c r="A204" s="18" t="n"/>
      <c r="B204" s="16" t="n"/>
      <c r="C204" s="16" t="n"/>
      <c r="D204" s="20" t="n"/>
      <c r="E204" s="16" t="n"/>
    </row>
    <row r="205">
      <c r="A205" s="18" t="n"/>
      <c r="B205" s="16" t="n"/>
      <c r="C205" s="16" t="n"/>
      <c r="D205" s="20" t="n"/>
      <c r="E205" s="16" t="n"/>
    </row>
    <row r="206">
      <c r="A206" s="18" t="n"/>
      <c r="B206" s="16" t="n"/>
      <c r="C206" s="16" t="n"/>
      <c r="D206" s="20" t="n"/>
      <c r="E206" s="16" t="n"/>
    </row>
    <row r="207">
      <c r="A207" s="18" t="n"/>
      <c r="B207" s="16" t="n"/>
      <c r="C207" s="16" t="n"/>
      <c r="D207" s="20" t="n"/>
      <c r="E207" s="16" t="n"/>
    </row>
    <row r="208">
      <c r="A208" s="18" t="n"/>
      <c r="B208" s="16" t="n"/>
      <c r="C208" s="16" t="n"/>
      <c r="D208" s="20" t="n"/>
      <c r="E208" s="16" t="n"/>
    </row>
    <row r="209">
      <c r="A209" s="18" t="n"/>
      <c r="B209" s="16" t="n"/>
      <c r="C209" s="16" t="n"/>
      <c r="D209" s="20" t="n"/>
      <c r="E209" s="16" t="n"/>
    </row>
    <row r="210">
      <c r="A210" s="18" t="n"/>
      <c r="B210" s="16" t="n"/>
      <c r="C210" s="16" t="n"/>
      <c r="D210" s="20" t="n"/>
      <c r="E210" s="16" t="n"/>
    </row>
    <row r="211">
      <c r="A211" s="18" t="n"/>
      <c r="B211" s="16" t="n"/>
      <c r="C211" s="16" t="n"/>
      <c r="D211" s="20" t="n"/>
      <c r="E211" s="16" t="n"/>
    </row>
    <row r="212">
      <c r="A212" s="18" t="n"/>
      <c r="B212" s="16" t="n"/>
      <c r="C212" s="16" t="n"/>
      <c r="D212" s="20" t="n"/>
      <c r="E212" s="16" t="n"/>
    </row>
    <row r="213">
      <c r="A213" s="18" t="n"/>
      <c r="B213" s="16" t="n"/>
      <c r="C213" s="16" t="n"/>
      <c r="D213" s="20" t="n"/>
      <c r="E213" s="16" t="n"/>
    </row>
    <row r="214">
      <c r="A214" s="18" t="n"/>
      <c r="B214" s="16" t="n"/>
      <c r="C214" s="16" t="n"/>
      <c r="D214" s="20" t="n"/>
      <c r="E214" s="16" t="n"/>
    </row>
    <row r="215">
      <c r="A215" s="18" t="n"/>
      <c r="B215" s="16" t="n"/>
      <c r="C215" s="16" t="n"/>
      <c r="D215" s="20" t="n"/>
      <c r="E215" s="16" t="n"/>
    </row>
    <row r="216">
      <c r="A216" s="18" t="n"/>
      <c r="B216" s="16" t="n"/>
      <c r="C216" s="16" t="n"/>
      <c r="D216" s="20" t="n"/>
      <c r="E216" s="16" t="n"/>
    </row>
    <row r="217">
      <c r="A217" s="18" t="n"/>
      <c r="B217" s="16" t="n"/>
      <c r="C217" s="16" t="n"/>
      <c r="D217" s="20" t="n"/>
      <c r="E217" s="16" t="n"/>
    </row>
    <row r="218">
      <c r="A218" s="18" t="n"/>
      <c r="B218" s="16" t="n"/>
      <c r="C218" s="16" t="n"/>
      <c r="D218" s="20" t="n"/>
      <c r="E218" s="16" t="n"/>
    </row>
    <row r="219">
      <c r="A219" s="18" t="n"/>
      <c r="B219" s="16" t="n"/>
      <c r="C219" s="16" t="n"/>
      <c r="D219" s="20" t="n"/>
      <c r="E219" s="16" t="n"/>
    </row>
    <row r="220">
      <c r="A220" s="18" t="n"/>
      <c r="B220" s="16" t="n"/>
      <c r="C220" s="16" t="n"/>
      <c r="D220" s="20" t="n"/>
      <c r="E220" s="16" t="n"/>
    </row>
    <row r="221">
      <c r="A221" s="18" t="n"/>
      <c r="B221" s="16" t="n"/>
      <c r="C221" s="16" t="n"/>
      <c r="D221" s="20" t="n"/>
      <c r="E221" s="16" t="n"/>
    </row>
    <row r="222">
      <c r="A222" s="18" t="n"/>
      <c r="B222" s="16" t="n"/>
      <c r="C222" s="16" t="n"/>
      <c r="D222" s="20" t="n"/>
      <c r="E222" s="16" t="n"/>
    </row>
    <row r="223">
      <c r="A223" s="18" t="n"/>
      <c r="B223" s="16" t="n"/>
      <c r="C223" s="16" t="n"/>
      <c r="D223" s="20" t="n"/>
      <c r="E223" s="16" t="n"/>
    </row>
    <row r="224">
      <c r="A224" s="18" t="n"/>
      <c r="B224" s="16" t="n"/>
      <c r="C224" s="16" t="n"/>
      <c r="D224" s="20" t="n"/>
      <c r="E224" s="16" t="n"/>
    </row>
    <row r="225">
      <c r="A225" s="18" t="n"/>
      <c r="B225" s="16" t="n"/>
      <c r="C225" s="16" t="n"/>
      <c r="D225" s="20" t="n"/>
      <c r="E225" s="16" t="n"/>
    </row>
    <row r="226">
      <c r="A226" s="18" t="n"/>
      <c r="B226" s="16" t="n"/>
      <c r="C226" s="16" t="n"/>
      <c r="D226" s="20" t="n"/>
      <c r="E226" s="16" t="n"/>
    </row>
    <row r="227">
      <c r="A227" s="18" t="n"/>
      <c r="B227" s="16" t="n"/>
      <c r="C227" s="16" t="n"/>
      <c r="D227" s="20" t="n"/>
      <c r="E227" s="16" t="n"/>
    </row>
    <row r="228">
      <c r="A228" s="18" t="n"/>
      <c r="B228" s="16" t="n"/>
      <c r="C228" s="16" t="n"/>
      <c r="D228" s="20" t="n"/>
      <c r="E228" s="16" t="n"/>
    </row>
    <row r="229">
      <c r="A229" s="18" t="n"/>
      <c r="B229" s="16" t="n"/>
      <c r="C229" s="16" t="n"/>
      <c r="D229" s="20" t="n"/>
      <c r="E229" s="16" t="n"/>
    </row>
    <row r="230">
      <c r="A230" s="18" t="n"/>
      <c r="B230" s="16" t="n"/>
      <c r="C230" s="16" t="n"/>
      <c r="D230" s="20" t="n"/>
      <c r="E230" s="16" t="n"/>
    </row>
    <row r="231">
      <c r="A231" s="18" t="n"/>
      <c r="B231" s="16" t="n"/>
      <c r="C231" s="16" t="n"/>
      <c r="D231" s="20" t="n"/>
      <c r="E231" s="16" t="n"/>
    </row>
    <row r="232">
      <c r="A232" s="18" t="n"/>
      <c r="B232" s="16" t="n"/>
      <c r="C232" s="16" t="n"/>
      <c r="D232" s="20" t="n"/>
      <c r="E232" s="16" t="n"/>
    </row>
    <row r="233">
      <c r="A233" s="18" t="n"/>
      <c r="B233" s="16" t="n"/>
      <c r="C233" s="16" t="n"/>
      <c r="D233" s="20" t="n"/>
      <c r="E233" s="16" t="n"/>
    </row>
    <row r="234">
      <c r="A234" s="18" t="n"/>
      <c r="B234" s="16" t="n"/>
      <c r="C234" s="16" t="n"/>
      <c r="D234" s="20" t="n"/>
      <c r="E234" s="16" t="n"/>
    </row>
    <row r="235">
      <c r="A235" s="18" t="n"/>
      <c r="B235" s="16" t="n"/>
      <c r="C235" s="16" t="n"/>
      <c r="D235" s="20" t="n"/>
      <c r="E235" s="16" t="n"/>
    </row>
    <row r="236">
      <c r="A236" s="18" t="n"/>
      <c r="B236" s="16" t="n"/>
      <c r="C236" s="16" t="n"/>
      <c r="D236" s="20" t="n"/>
      <c r="E236" s="16" t="n"/>
    </row>
    <row r="237">
      <c r="A237" s="18" t="n"/>
      <c r="B237" s="16" t="n"/>
      <c r="C237" s="16" t="n"/>
      <c r="D237" s="20" t="n"/>
      <c r="E237" s="16" t="n"/>
    </row>
    <row r="238">
      <c r="A238" s="18" t="n"/>
      <c r="B238" s="16" t="n"/>
      <c r="C238" s="16" t="n"/>
      <c r="D238" s="20" t="n"/>
      <c r="E238" s="16" t="n"/>
    </row>
    <row r="239">
      <c r="A239" s="18" t="n"/>
      <c r="B239" s="16" t="n"/>
      <c r="C239" s="16" t="n"/>
      <c r="D239" s="20" t="n"/>
      <c r="E239" s="16" t="n"/>
    </row>
    <row r="240">
      <c r="A240" s="18" t="n"/>
      <c r="B240" s="16" t="n"/>
      <c r="C240" s="16" t="n"/>
      <c r="D240" s="20" t="n"/>
      <c r="E240" s="16" t="n"/>
    </row>
    <row r="241">
      <c r="A241" s="18" t="n"/>
      <c r="B241" s="16" t="n"/>
      <c r="C241" s="16" t="n"/>
      <c r="D241" s="20" t="n"/>
      <c r="E241" s="16" t="n"/>
    </row>
    <row r="242">
      <c r="A242" s="18" t="n"/>
      <c r="B242" s="16" t="n"/>
      <c r="C242" s="16" t="n"/>
      <c r="D242" s="20" t="n"/>
      <c r="E242" s="16" t="n"/>
    </row>
    <row r="243">
      <c r="A243" s="18" t="n"/>
      <c r="B243" s="16" t="n"/>
      <c r="C243" s="16" t="n"/>
      <c r="D243" s="20" t="n"/>
      <c r="E243" s="16" t="n"/>
    </row>
    <row r="244">
      <c r="A244" s="18" t="n"/>
      <c r="B244" s="16" t="n"/>
      <c r="C244" s="16" t="n"/>
      <c r="D244" s="20" t="n"/>
      <c r="E244" s="16" t="n"/>
    </row>
    <row r="245">
      <c r="A245" s="18" t="n"/>
      <c r="B245" s="16" t="n"/>
      <c r="C245" s="16" t="n"/>
      <c r="D245" s="20" t="n"/>
      <c r="E245" s="16" t="n"/>
    </row>
    <row r="246">
      <c r="A246" s="18" t="n"/>
      <c r="B246" s="16" t="n"/>
      <c r="C246" s="16" t="n"/>
      <c r="D246" s="20" t="n"/>
      <c r="E246" s="16" t="n"/>
    </row>
    <row r="247">
      <c r="A247" s="18" t="n"/>
      <c r="B247" s="16" t="n"/>
      <c r="C247" s="16" t="n"/>
      <c r="D247" s="20" t="n"/>
      <c r="E247" s="16" t="n"/>
    </row>
    <row r="248">
      <c r="A248" s="18" t="n"/>
      <c r="B248" s="16" t="n"/>
      <c r="C248" s="16" t="n"/>
      <c r="D248" s="20" t="n"/>
      <c r="E248" s="16" t="n"/>
    </row>
    <row r="249">
      <c r="A249" s="18" t="n"/>
      <c r="B249" s="16" t="n"/>
      <c r="C249" s="16" t="n"/>
      <c r="D249" s="20" t="n"/>
      <c r="E249" s="16" t="n"/>
    </row>
    <row r="250">
      <c r="A250" s="18" t="n"/>
      <c r="B250" s="16" t="n"/>
      <c r="C250" s="16" t="n"/>
      <c r="D250" s="20" t="n"/>
      <c r="E250" s="16" t="n"/>
    </row>
    <row r="251">
      <c r="A251" s="18" t="n"/>
      <c r="B251" s="16" t="n"/>
      <c r="C251" s="16" t="n"/>
      <c r="D251" s="20" t="n"/>
      <c r="E251" s="16" t="n"/>
    </row>
    <row r="252">
      <c r="A252" s="18" t="n"/>
      <c r="B252" s="16" t="n"/>
      <c r="C252" s="16" t="n"/>
      <c r="D252" s="20" t="n"/>
      <c r="E252" s="16" t="n"/>
    </row>
    <row r="253">
      <c r="A253" s="18" t="n"/>
      <c r="B253" s="16" t="n"/>
      <c r="C253" s="16" t="n"/>
      <c r="D253" s="20" t="n"/>
      <c r="E253" s="16" t="n"/>
    </row>
    <row r="254">
      <c r="A254" s="18" t="n"/>
      <c r="B254" s="16" t="n"/>
      <c r="C254" s="16" t="n"/>
      <c r="D254" s="20" t="n"/>
      <c r="E254" s="16" t="n"/>
    </row>
    <row r="255">
      <c r="A255" s="18" t="n"/>
      <c r="B255" s="16" t="n"/>
      <c r="C255" s="16" t="n"/>
      <c r="D255" s="20" t="n"/>
      <c r="E255" s="16" t="n"/>
    </row>
    <row r="256">
      <c r="A256" s="18" t="n"/>
      <c r="B256" s="16" t="n"/>
      <c r="C256" s="16" t="n"/>
      <c r="D256" s="20" t="n"/>
      <c r="E256" s="16" t="n"/>
    </row>
    <row r="257">
      <c r="A257" s="18" t="n"/>
      <c r="B257" s="16" t="n"/>
      <c r="C257" s="16" t="n"/>
      <c r="D257" s="20" t="n"/>
      <c r="E257" s="16" t="n"/>
    </row>
    <row r="258">
      <c r="A258" s="18" t="n"/>
      <c r="B258" s="16" t="n"/>
      <c r="C258" s="16" t="n"/>
      <c r="D258" s="20" t="n"/>
      <c r="E258" s="16" t="n"/>
    </row>
    <row r="259">
      <c r="A259" s="18" t="n"/>
      <c r="B259" s="16" t="n"/>
      <c r="C259" s="16" t="n"/>
      <c r="D259" s="20" t="n"/>
      <c r="E259" s="16" t="n"/>
    </row>
    <row r="260">
      <c r="A260" s="18" t="n"/>
      <c r="B260" s="16" t="n"/>
      <c r="C260" s="16" t="n"/>
      <c r="D260" s="20" t="n"/>
      <c r="E260" s="16" t="n"/>
    </row>
    <row r="261">
      <c r="A261" s="18" t="n"/>
      <c r="B261" s="16" t="n"/>
      <c r="C261" s="16" t="n"/>
      <c r="D261" s="20" t="n"/>
      <c r="E261" s="16" t="n"/>
    </row>
    <row r="262">
      <c r="A262" s="18" t="n"/>
      <c r="B262" s="16" t="n"/>
      <c r="C262" s="16" t="n"/>
      <c r="D262" s="20" t="n"/>
      <c r="E262" s="16" t="n"/>
    </row>
    <row r="263">
      <c r="A263" s="18" t="n"/>
      <c r="B263" s="16" t="n"/>
      <c r="C263" s="16" t="n"/>
      <c r="D263" s="20" t="n"/>
      <c r="E263" s="16" t="n"/>
    </row>
    <row r="264">
      <c r="A264" s="18" t="n"/>
      <c r="B264" s="16" t="n"/>
      <c r="C264" s="16" t="n"/>
      <c r="D264" s="20" t="n"/>
      <c r="E264" s="16" t="n"/>
    </row>
    <row r="265">
      <c r="A265" s="18" t="n"/>
      <c r="B265" s="16" t="n"/>
      <c r="C265" s="16" t="n"/>
      <c r="D265" s="20" t="n"/>
      <c r="E265" s="16" t="n"/>
    </row>
    <row r="266">
      <c r="A266" s="18" t="n"/>
      <c r="B266" s="16" t="n"/>
      <c r="C266" s="16" t="n"/>
      <c r="D266" s="20" t="n"/>
      <c r="E266" s="16" t="n"/>
    </row>
    <row r="267">
      <c r="A267" s="18" t="n"/>
      <c r="B267" s="16" t="n"/>
      <c r="C267" s="16" t="n"/>
      <c r="D267" s="20" t="n"/>
      <c r="E267" s="16" t="n"/>
    </row>
    <row r="268">
      <c r="A268" s="18" t="n"/>
      <c r="B268" s="16" t="n"/>
      <c r="C268" s="16" t="n"/>
      <c r="D268" s="20" t="n"/>
      <c r="E268" s="16" t="n"/>
    </row>
    <row r="269">
      <c r="A269" s="18" t="n"/>
      <c r="B269" s="16" t="n"/>
      <c r="C269" s="16" t="n"/>
      <c r="D269" s="20" t="n"/>
      <c r="E269" s="16" t="n"/>
    </row>
    <row r="270">
      <c r="A270" s="18" t="n"/>
      <c r="B270" s="16" t="n"/>
      <c r="C270" s="16" t="n"/>
      <c r="D270" s="20" t="n"/>
      <c r="E270" s="16" t="n"/>
    </row>
    <row r="271">
      <c r="A271" s="18" t="n"/>
      <c r="B271" s="16" t="n"/>
      <c r="C271" s="16" t="n"/>
      <c r="D271" s="20" t="n"/>
      <c r="E271" s="16" t="n"/>
    </row>
    <row r="272">
      <c r="A272" s="18" t="n"/>
      <c r="B272" s="16" t="n"/>
      <c r="C272" s="16" t="n"/>
      <c r="D272" s="20" t="n"/>
      <c r="E272" s="16" t="n"/>
    </row>
    <row r="273">
      <c r="A273" s="18" t="n"/>
      <c r="B273" s="16" t="n"/>
      <c r="C273" s="16" t="n"/>
      <c r="D273" s="20" t="n"/>
      <c r="E273" s="16" t="n"/>
    </row>
    <row r="274">
      <c r="A274" s="18" t="n"/>
      <c r="B274" s="16" t="n"/>
      <c r="C274" s="16" t="n"/>
      <c r="D274" s="20" t="n"/>
      <c r="E274" s="16" t="n"/>
    </row>
    <row r="275">
      <c r="A275" s="18" t="n"/>
      <c r="B275" s="16" t="n"/>
      <c r="C275" s="16" t="n"/>
      <c r="D275" s="20" t="n"/>
      <c r="E275" s="16" t="n"/>
    </row>
    <row r="276">
      <c r="A276" s="18" t="n"/>
      <c r="B276" s="16" t="n"/>
      <c r="C276" s="16" t="n"/>
      <c r="D276" s="20" t="n"/>
      <c r="E276" s="16" t="n"/>
    </row>
    <row r="277">
      <c r="A277" s="18" t="n"/>
      <c r="B277" s="16" t="n"/>
      <c r="C277" s="16" t="n"/>
      <c r="D277" s="20" t="n"/>
      <c r="E277" s="16" t="n"/>
    </row>
    <row r="278">
      <c r="A278" s="18" t="n"/>
      <c r="B278" s="16" t="n"/>
      <c r="C278" s="16" t="n"/>
      <c r="D278" s="20" t="n"/>
      <c r="E278" s="16" t="n"/>
    </row>
    <row r="279">
      <c r="A279" s="18" t="n"/>
      <c r="B279" s="16" t="n"/>
      <c r="C279" s="16" t="n"/>
      <c r="D279" s="20" t="n"/>
      <c r="E279" s="16" t="n"/>
    </row>
    <row r="280">
      <c r="A280" s="18" t="n"/>
      <c r="B280" s="16" t="n"/>
      <c r="C280" s="16" t="n"/>
      <c r="D280" s="20" t="n"/>
      <c r="E280" s="16" t="n"/>
    </row>
    <row r="281">
      <c r="A281" s="18" t="n"/>
      <c r="B281" s="16" t="n"/>
      <c r="C281" s="16" t="n"/>
      <c r="D281" s="20" t="n"/>
      <c r="E281" s="16" t="n"/>
    </row>
    <row r="282">
      <c r="A282" s="18" t="n"/>
      <c r="B282" s="16" t="n"/>
      <c r="C282" s="16" t="n"/>
      <c r="D282" s="20" t="n"/>
      <c r="E282" s="16" t="n"/>
    </row>
    <row r="283">
      <c r="A283" s="18" t="n"/>
      <c r="B283" s="16" t="n"/>
      <c r="C283" s="16" t="n"/>
      <c r="D283" s="20" t="n"/>
      <c r="E283" s="16" t="n"/>
    </row>
    <row r="284">
      <c r="A284" s="18" t="n"/>
      <c r="B284" s="16" t="n"/>
      <c r="C284" s="16" t="n"/>
      <c r="D284" s="20" t="n"/>
      <c r="E284" s="16" t="n"/>
    </row>
    <row r="285">
      <c r="A285" s="18" t="n"/>
      <c r="B285" s="16" t="n"/>
      <c r="C285" s="16" t="n"/>
      <c r="D285" s="20" t="n"/>
      <c r="E285" s="16" t="n"/>
    </row>
    <row r="286">
      <c r="A286" s="18" t="n"/>
      <c r="B286" s="16" t="n"/>
      <c r="C286" s="16" t="n"/>
      <c r="D286" s="20" t="n"/>
      <c r="E286" s="16" t="n"/>
    </row>
    <row r="287">
      <c r="A287" s="18" t="n"/>
      <c r="B287" s="16" t="n"/>
      <c r="C287" s="16" t="n"/>
      <c r="D287" s="20" t="n"/>
      <c r="E287" s="16" t="n"/>
    </row>
    <row r="288">
      <c r="A288" s="18" t="n"/>
      <c r="B288" s="16" t="n"/>
      <c r="C288" s="16" t="n"/>
      <c r="D288" s="20" t="n"/>
      <c r="E288" s="16" t="n"/>
    </row>
    <row r="289">
      <c r="A289" s="18" t="n"/>
      <c r="B289" s="16" t="n"/>
      <c r="C289" s="16" t="n"/>
      <c r="D289" s="20" t="n"/>
      <c r="E289" s="16" t="n"/>
    </row>
    <row r="290">
      <c r="A290" s="18" t="n"/>
      <c r="B290" s="16" t="n"/>
      <c r="C290" s="16" t="n"/>
      <c r="D290" s="20" t="n"/>
      <c r="E290" s="16" t="n"/>
    </row>
    <row r="291">
      <c r="A291" s="18" t="n"/>
      <c r="B291" s="16" t="n"/>
      <c r="C291" s="16" t="n"/>
      <c r="D291" s="20" t="n"/>
      <c r="E291" s="16" t="n"/>
    </row>
    <row r="292">
      <c r="A292" s="18" t="n"/>
      <c r="B292" s="16" t="n"/>
      <c r="C292" s="16" t="n"/>
      <c r="D292" s="20" t="n"/>
      <c r="E292" s="16" t="n"/>
    </row>
    <row r="293">
      <c r="A293" s="18" t="n"/>
      <c r="B293" s="16" t="n"/>
      <c r="C293" s="16" t="n"/>
      <c r="D293" s="20" t="n"/>
      <c r="E293" s="16" t="n"/>
    </row>
    <row r="294">
      <c r="A294" s="18" t="n"/>
      <c r="B294" s="16" t="n"/>
      <c r="C294" s="16" t="n"/>
      <c r="D294" s="20" t="n"/>
      <c r="E294" s="16" t="n"/>
    </row>
    <row r="295">
      <c r="A295" s="18" t="n"/>
      <c r="B295" s="16" t="n"/>
      <c r="C295" s="16" t="n"/>
      <c r="D295" s="20" t="n"/>
      <c r="E295" s="16" t="n"/>
    </row>
    <row r="296">
      <c r="A296" s="18" t="n"/>
      <c r="B296" s="16" t="n"/>
      <c r="C296" s="16" t="n"/>
      <c r="D296" s="20" t="n"/>
      <c r="E296" s="16" t="n"/>
    </row>
    <row r="297">
      <c r="A297" s="18" t="n"/>
      <c r="B297" s="16" t="n"/>
      <c r="C297" s="16" t="n"/>
      <c r="D297" s="20" t="n"/>
      <c r="E297" s="16" t="n"/>
    </row>
    <row r="298">
      <c r="A298" s="18" t="n"/>
      <c r="B298" s="16" t="n"/>
      <c r="C298" s="16" t="n"/>
      <c r="D298" s="20" t="n"/>
      <c r="E298" s="16" t="n"/>
    </row>
    <row r="299">
      <c r="A299" s="18" t="n"/>
      <c r="B299" s="16" t="n"/>
      <c r="C299" s="16" t="n"/>
      <c r="D299" s="20" t="n"/>
      <c r="E299" s="16" t="n"/>
    </row>
    <row r="300">
      <c r="A300" s="18" t="n"/>
      <c r="B300" s="16" t="n"/>
      <c r="C300" s="16" t="n"/>
      <c r="D300" s="20" t="n"/>
      <c r="E300" s="16" t="n"/>
    </row>
    <row r="301">
      <c r="A301" s="18" t="n"/>
      <c r="B301" s="16" t="n"/>
      <c r="C301" s="16" t="n"/>
      <c r="D301" s="20" t="n"/>
      <c r="E301" s="16" t="n"/>
    </row>
    <row r="302">
      <c r="A302" s="18" t="n"/>
      <c r="B302" s="16" t="n"/>
      <c r="C302" s="16" t="n"/>
      <c r="D302" s="20" t="n"/>
      <c r="E302" s="16" t="n"/>
    </row>
    <row r="303">
      <c r="A303" s="18" t="n"/>
      <c r="B303" s="16" t="n"/>
      <c r="C303" s="16" t="n"/>
      <c r="D303" s="20" t="n"/>
      <c r="E303" s="16" t="n"/>
    </row>
    <row r="304">
      <c r="A304" s="18" t="n"/>
      <c r="B304" s="16" t="n"/>
      <c r="C304" s="16" t="n"/>
      <c r="D304" s="20" t="n"/>
      <c r="E304" s="16" t="n"/>
    </row>
    <row r="305">
      <c r="A305" s="18" t="n"/>
      <c r="B305" s="16" t="n"/>
      <c r="C305" s="16" t="n"/>
      <c r="D305" s="20" t="n"/>
      <c r="E305" s="16" t="n"/>
    </row>
    <row r="306">
      <c r="A306" s="18" t="n"/>
      <c r="B306" s="16" t="n"/>
      <c r="C306" s="16" t="n"/>
      <c r="D306" s="20" t="n"/>
      <c r="E306" s="16" t="n"/>
    </row>
    <row r="307">
      <c r="A307" s="18" t="n"/>
      <c r="B307" s="16" t="n"/>
      <c r="C307" s="16" t="n"/>
      <c r="D307" s="20" t="n"/>
      <c r="E307" s="16" t="n"/>
    </row>
    <row r="308">
      <c r="A308" s="18" t="n"/>
      <c r="B308" s="16" t="n"/>
      <c r="C308" s="16" t="n"/>
      <c r="D308" s="20" t="n"/>
      <c r="E308" s="16" t="n"/>
    </row>
    <row r="309">
      <c r="A309" s="18" t="n"/>
      <c r="B309" s="16" t="n"/>
      <c r="C309" s="16" t="n"/>
      <c r="D309" s="20" t="n"/>
      <c r="E309" s="16" t="n"/>
    </row>
    <row r="310">
      <c r="A310" s="18" t="n"/>
      <c r="B310" s="16" t="n"/>
      <c r="C310" s="16" t="n"/>
      <c r="D310" s="20" t="n"/>
      <c r="E310" s="16" t="n"/>
    </row>
    <row r="311">
      <c r="A311" s="18" t="n"/>
      <c r="B311" s="16" t="n"/>
      <c r="C311" s="16" t="n"/>
      <c r="D311" s="20" t="n"/>
      <c r="E311" s="16" t="n"/>
    </row>
    <row r="312">
      <c r="A312" s="18" t="n"/>
      <c r="B312" s="16" t="n"/>
      <c r="C312" s="16" t="n"/>
      <c r="D312" s="20" t="n"/>
      <c r="E312" s="16" t="n"/>
    </row>
    <row r="313">
      <c r="A313" s="18" t="n"/>
      <c r="B313" s="16" t="n"/>
      <c r="C313" s="16" t="n"/>
      <c r="D313" s="20" t="n"/>
      <c r="E313" s="16" t="n"/>
    </row>
    <row r="314">
      <c r="A314" s="18" t="n"/>
      <c r="B314" s="16" t="n"/>
      <c r="C314" s="16" t="n"/>
      <c r="D314" s="20" t="n"/>
      <c r="E314" s="16" t="n"/>
    </row>
    <row r="315">
      <c r="A315" s="18" t="n"/>
      <c r="B315" s="16" t="n"/>
      <c r="C315" s="16" t="n"/>
      <c r="D315" s="20" t="n"/>
      <c r="E315" s="16" t="n"/>
    </row>
    <row r="316">
      <c r="A316" s="18" t="n"/>
      <c r="B316" s="16" t="n"/>
      <c r="C316" s="16" t="n"/>
      <c r="D316" s="20" t="n"/>
      <c r="E316" s="16" t="n"/>
    </row>
    <row r="317">
      <c r="A317" s="18" t="n"/>
      <c r="B317" s="16" t="n"/>
      <c r="C317" s="16" t="n"/>
      <c r="D317" s="20" t="n"/>
      <c r="E317" s="16" t="n"/>
    </row>
    <row r="318">
      <c r="A318" s="18" t="n"/>
      <c r="B318" s="16" t="n"/>
      <c r="C318" s="16" t="n"/>
      <c r="D318" s="20" t="n"/>
      <c r="E318" s="16" t="n"/>
    </row>
    <row r="319">
      <c r="A319" s="18" t="n"/>
      <c r="B319" s="16" t="n"/>
      <c r="C319" s="16" t="n"/>
      <c r="D319" s="20" t="n"/>
      <c r="E319" s="16" t="n"/>
    </row>
    <row r="320">
      <c r="A320" s="18" t="n"/>
      <c r="B320" s="16" t="n"/>
      <c r="C320" s="16" t="n"/>
      <c r="D320" s="20" t="n"/>
      <c r="E320" s="16" t="n"/>
    </row>
    <row r="321">
      <c r="A321" s="18" t="n"/>
      <c r="B321" s="16" t="n"/>
      <c r="C321" s="16" t="n"/>
      <c r="D321" s="20" t="n"/>
      <c r="E321" s="16" t="n"/>
    </row>
    <row r="322">
      <c r="A322" s="18" t="n"/>
      <c r="B322" s="16" t="n"/>
      <c r="C322" s="16" t="n"/>
      <c r="D322" s="20" t="n"/>
      <c r="E322" s="16" t="n"/>
    </row>
    <row r="323">
      <c r="A323" s="18" t="n"/>
      <c r="B323" s="16" t="n"/>
      <c r="C323" s="16" t="n"/>
      <c r="D323" s="20" t="n"/>
      <c r="E323" s="16" t="n"/>
    </row>
    <row r="324">
      <c r="A324" s="18" t="n"/>
      <c r="B324" s="16" t="n"/>
      <c r="C324" s="16" t="n"/>
      <c r="D324" s="20" t="n"/>
      <c r="E324" s="16" t="n"/>
    </row>
    <row r="325">
      <c r="A325" s="18" t="n"/>
      <c r="B325" s="16" t="n"/>
      <c r="C325" s="16" t="n"/>
      <c r="D325" s="20" t="n"/>
      <c r="E325" s="16" t="n"/>
    </row>
    <row r="326">
      <c r="A326" s="18" t="n"/>
      <c r="B326" s="16" t="n"/>
      <c r="C326" s="16" t="n"/>
      <c r="D326" s="20" t="n"/>
      <c r="E326" s="16" t="n"/>
    </row>
    <row r="327">
      <c r="A327" s="18" t="n"/>
      <c r="B327" s="16" t="n"/>
      <c r="C327" s="16" t="n"/>
      <c r="D327" s="20" t="n"/>
      <c r="E327" s="16" t="n"/>
    </row>
    <row r="328">
      <c r="A328" s="18" t="n"/>
      <c r="B328" s="16" t="n"/>
      <c r="C328" s="16" t="n"/>
      <c r="D328" s="20" t="n"/>
      <c r="E328" s="16" t="n"/>
    </row>
    <row r="329">
      <c r="A329" s="18" t="n"/>
      <c r="B329" s="16" t="n"/>
      <c r="C329" s="16" t="n"/>
      <c r="D329" s="20" t="n"/>
      <c r="E329" s="16" t="n"/>
    </row>
    <row r="330">
      <c r="A330" s="18" t="n"/>
      <c r="B330" s="16" t="n"/>
      <c r="C330" s="16" t="n"/>
      <c r="D330" s="20" t="n"/>
      <c r="E330" s="16" t="n"/>
    </row>
    <row r="331">
      <c r="A331" s="18" t="n"/>
      <c r="B331" s="16" t="n"/>
      <c r="C331" s="16" t="n"/>
      <c r="D331" s="20" t="n"/>
      <c r="E331" s="16" t="n"/>
    </row>
    <row r="332">
      <c r="A332" s="18" t="n"/>
      <c r="B332" s="16" t="n"/>
      <c r="C332" s="16" t="n"/>
      <c r="D332" s="20" t="n"/>
      <c r="E332" s="16" t="n"/>
    </row>
    <row r="333">
      <c r="A333" s="18" t="n"/>
      <c r="B333" s="16" t="n"/>
      <c r="C333" s="16" t="n"/>
      <c r="D333" s="20" t="n"/>
      <c r="E333" s="16" t="n"/>
    </row>
    <row r="334">
      <c r="A334" s="18" t="n"/>
      <c r="B334" s="16" t="n"/>
      <c r="C334" s="16" t="n"/>
      <c r="D334" s="20" t="n"/>
      <c r="E334" s="16" t="n"/>
    </row>
    <row r="335">
      <c r="A335" s="18" t="n"/>
      <c r="B335" s="16" t="n"/>
      <c r="C335" s="16" t="n"/>
      <c r="D335" s="20" t="n"/>
      <c r="E335" s="16" t="n"/>
    </row>
    <row r="336">
      <c r="A336" s="18" t="n"/>
      <c r="B336" s="16" t="n"/>
      <c r="C336" s="16" t="n"/>
      <c r="D336" s="20" t="n"/>
      <c r="E336" s="16" t="n"/>
    </row>
    <row r="337">
      <c r="A337" s="18" t="n"/>
      <c r="B337" s="16" t="n"/>
      <c r="C337" s="16" t="n"/>
      <c r="D337" s="20" t="n"/>
      <c r="E337" s="16" t="n"/>
    </row>
    <row r="338">
      <c r="A338" s="18" t="n"/>
      <c r="B338" s="16" t="n"/>
      <c r="C338" s="16" t="n"/>
      <c r="D338" s="20" t="n"/>
      <c r="E338" s="16" t="n"/>
    </row>
    <row r="339">
      <c r="A339" s="18" t="n"/>
      <c r="B339" s="16" t="n"/>
      <c r="C339" s="16" t="n"/>
      <c r="D339" s="20" t="n"/>
      <c r="E339" s="16" t="n"/>
    </row>
    <row r="340">
      <c r="A340" s="18" t="n"/>
      <c r="B340" s="16" t="n"/>
      <c r="C340" s="16" t="n"/>
      <c r="D340" s="20" t="n"/>
      <c r="E340" s="16" t="n"/>
    </row>
    <row r="341">
      <c r="A341" s="18" t="n"/>
      <c r="B341" s="16" t="n"/>
      <c r="C341" s="16" t="n"/>
      <c r="D341" s="20" t="n"/>
      <c r="E341" s="16" t="n"/>
    </row>
    <row r="342">
      <c r="A342" s="18" t="n"/>
      <c r="B342" s="16" t="n"/>
      <c r="C342" s="16" t="n"/>
      <c r="D342" s="20" t="n"/>
      <c r="E342" s="16" t="n"/>
    </row>
    <row r="343">
      <c r="A343" s="18" t="n"/>
      <c r="B343" s="16" t="n"/>
      <c r="C343" s="16" t="n"/>
      <c r="D343" s="20" t="n"/>
      <c r="E343" s="16" t="n"/>
    </row>
    <row r="344">
      <c r="A344" s="18" t="n"/>
      <c r="B344" s="16" t="n"/>
      <c r="C344" s="16" t="n"/>
      <c r="D344" s="20" t="n"/>
      <c r="E344" s="16" t="n"/>
    </row>
    <row r="345">
      <c r="A345" s="18" t="n"/>
      <c r="B345" s="16" t="n"/>
      <c r="C345" s="16" t="n"/>
      <c r="D345" s="20" t="n"/>
      <c r="E345" s="16" t="n"/>
    </row>
    <row r="346">
      <c r="A346" s="18" t="n"/>
      <c r="B346" s="16" t="n"/>
      <c r="C346" s="16" t="n"/>
      <c r="D346" s="20" t="n"/>
      <c r="E346" s="16" t="n"/>
    </row>
    <row r="347">
      <c r="A347" s="18" t="n"/>
      <c r="B347" s="16" t="n"/>
      <c r="C347" s="16" t="n"/>
      <c r="D347" s="20" t="n"/>
      <c r="E347" s="16" t="n"/>
    </row>
    <row r="348">
      <c r="A348" s="18" t="n"/>
      <c r="B348" s="16" t="n"/>
      <c r="C348" s="16" t="n"/>
      <c r="D348" s="20" t="n"/>
      <c r="E348" s="16" t="n"/>
    </row>
    <row r="349">
      <c r="A349" s="18" t="n"/>
      <c r="B349" s="16" t="n"/>
      <c r="C349" s="16" t="n"/>
      <c r="D349" s="20" t="n"/>
      <c r="E349" s="16" t="n"/>
    </row>
    <row r="350">
      <c r="A350" s="18" t="n"/>
      <c r="B350" s="16" t="n"/>
      <c r="C350" s="16" t="n"/>
      <c r="D350" s="20" t="n"/>
      <c r="E350" s="16" t="n"/>
    </row>
    <row r="351">
      <c r="A351" s="18" t="n"/>
      <c r="B351" s="16" t="n"/>
      <c r="C351" s="16" t="n"/>
      <c r="D351" s="20" t="n"/>
      <c r="E351" s="16" t="n"/>
    </row>
    <row r="352">
      <c r="A352" s="18" t="n"/>
      <c r="B352" s="16" t="n"/>
      <c r="C352" s="16" t="n"/>
      <c r="D352" s="20" t="n"/>
      <c r="E352" s="16" t="n"/>
    </row>
    <row r="353">
      <c r="A353" s="18" t="n"/>
      <c r="B353" s="16" t="n"/>
      <c r="C353" s="16" t="n"/>
      <c r="D353" s="20" t="n"/>
      <c r="E353" s="16" t="n"/>
    </row>
    <row r="354">
      <c r="A354" s="18" t="n"/>
      <c r="B354" s="16" t="n"/>
      <c r="C354" s="16" t="n"/>
      <c r="D354" s="20" t="n"/>
      <c r="E354" s="16" t="n"/>
    </row>
    <row r="355">
      <c r="A355" s="18" t="n"/>
      <c r="B355" s="16" t="n"/>
      <c r="C355" s="16" t="n"/>
      <c r="D355" s="20" t="n"/>
      <c r="E355" s="16" t="n"/>
    </row>
    <row r="356">
      <c r="A356" s="18" t="n"/>
      <c r="B356" s="16" t="n"/>
      <c r="C356" s="16" t="n"/>
      <c r="D356" s="20" t="n"/>
      <c r="E356" s="16" t="n"/>
    </row>
    <row r="357">
      <c r="A357" s="18" t="n"/>
      <c r="B357" s="16" t="n"/>
      <c r="C357" s="16" t="n"/>
      <c r="D357" s="20" t="n"/>
      <c r="E357" s="16" t="n"/>
    </row>
    <row r="358">
      <c r="A358" s="18" t="n"/>
      <c r="B358" s="16" t="n"/>
      <c r="C358" s="16" t="n"/>
      <c r="D358" s="20" t="n"/>
      <c r="E358" s="16" t="n"/>
    </row>
    <row r="359">
      <c r="A359" s="18" t="n"/>
      <c r="B359" s="16" t="n"/>
      <c r="C359" s="16" t="n"/>
      <c r="D359" s="20" t="n"/>
      <c r="E359" s="16" t="n"/>
    </row>
    <row r="360">
      <c r="A360" s="18" t="n"/>
      <c r="B360" s="16" t="n"/>
      <c r="C360" s="16" t="n"/>
      <c r="D360" s="20" t="n"/>
      <c r="E360" s="16" t="n"/>
    </row>
    <row r="361">
      <c r="A361" s="18" t="n"/>
      <c r="B361" s="16" t="n"/>
      <c r="C361" s="16" t="n"/>
      <c r="D361" s="20" t="n"/>
      <c r="E361" s="16" t="n"/>
    </row>
    <row r="362">
      <c r="A362" s="18" t="n"/>
      <c r="B362" s="16" t="n"/>
      <c r="C362" s="16" t="n"/>
      <c r="D362" s="20" t="n"/>
      <c r="E362" s="16" t="n"/>
    </row>
    <row r="363">
      <c r="A363" s="18" t="n"/>
      <c r="B363" s="16" t="n"/>
      <c r="C363" s="16" t="n"/>
      <c r="D363" s="20" t="n"/>
      <c r="E363" s="16" t="n"/>
    </row>
    <row r="364">
      <c r="A364" s="18" t="n"/>
      <c r="B364" s="16" t="n"/>
      <c r="C364" s="16" t="n"/>
      <c r="D364" s="20" t="n"/>
      <c r="E364" s="16" t="n"/>
    </row>
    <row r="365">
      <c r="A365" s="18" t="n"/>
      <c r="B365" s="16" t="n"/>
      <c r="C365" s="16" t="n"/>
      <c r="D365" s="20" t="n"/>
      <c r="E365" s="16" t="n"/>
    </row>
    <row r="366">
      <c r="A366" s="18" t="n"/>
      <c r="B366" s="16" t="n"/>
      <c r="C366" s="16" t="n"/>
      <c r="D366" s="20" t="n"/>
      <c r="E366" s="16" t="n"/>
    </row>
    <row r="367">
      <c r="A367" s="18" t="n"/>
      <c r="B367" s="16" t="n"/>
      <c r="C367" s="16" t="n"/>
      <c r="D367" s="20" t="n"/>
      <c r="E367" s="16" t="n"/>
    </row>
    <row r="368">
      <c r="A368" s="18" t="n"/>
      <c r="B368" s="16" t="n"/>
      <c r="C368" s="16" t="n"/>
      <c r="D368" s="20" t="n"/>
      <c r="E368" s="16" t="n"/>
    </row>
    <row r="369">
      <c r="A369" s="18" t="n"/>
      <c r="B369" s="16" t="n"/>
      <c r="C369" s="16" t="n"/>
      <c r="D369" s="20" t="n"/>
      <c r="E369" s="16" t="n"/>
    </row>
    <row r="370">
      <c r="A370" s="18" t="n"/>
      <c r="B370" s="16" t="n"/>
      <c r="C370" s="16" t="n"/>
      <c r="D370" s="20" t="n"/>
      <c r="E370" s="16" t="n"/>
    </row>
    <row r="371">
      <c r="A371" s="18" t="n"/>
      <c r="B371" s="16" t="n"/>
      <c r="C371" s="16" t="n"/>
      <c r="D371" s="20" t="n"/>
      <c r="E371" s="16" t="n"/>
    </row>
    <row r="372">
      <c r="A372" s="18" t="n"/>
      <c r="B372" s="16" t="n"/>
      <c r="C372" s="16" t="n"/>
      <c r="D372" s="20" t="n"/>
      <c r="E372" s="16" t="n"/>
    </row>
    <row r="373">
      <c r="A373" s="18" t="n"/>
      <c r="B373" s="16" t="n"/>
      <c r="C373" s="16" t="n"/>
      <c r="D373" s="20" t="n"/>
      <c r="E373" s="16" t="n"/>
    </row>
    <row r="374">
      <c r="A374" s="18" t="n"/>
      <c r="B374" s="16" t="n"/>
      <c r="C374" s="16" t="n"/>
      <c r="D374" s="20" t="n"/>
      <c r="E374" s="16" t="n"/>
    </row>
    <row r="375">
      <c r="A375" s="18" t="n"/>
      <c r="B375" s="16" t="n"/>
      <c r="C375" s="16" t="n"/>
      <c r="D375" s="20" t="n"/>
      <c r="E375" s="16" t="n"/>
    </row>
    <row r="376">
      <c r="A376" s="18" t="n"/>
      <c r="B376" s="16" t="n"/>
      <c r="C376" s="16" t="n"/>
      <c r="D376" s="20" t="n"/>
      <c r="E376" s="16" t="n"/>
    </row>
    <row r="377">
      <c r="A377" s="18" t="n"/>
      <c r="B377" s="16" t="n"/>
      <c r="C377" s="16" t="n"/>
      <c r="D377" s="20" t="n"/>
      <c r="E377" s="16" t="n"/>
    </row>
    <row r="378">
      <c r="A378" s="18" t="n"/>
      <c r="B378" s="16" t="n"/>
      <c r="C378" s="16" t="n"/>
      <c r="D378" s="20" t="n"/>
      <c r="E378" s="16" t="n"/>
    </row>
    <row r="379">
      <c r="A379" s="18" t="n"/>
      <c r="B379" s="16" t="n"/>
      <c r="C379" s="16" t="n"/>
      <c r="D379" s="20" t="n"/>
      <c r="E379" s="16" t="n"/>
    </row>
    <row r="380">
      <c r="A380" s="18" t="n"/>
      <c r="B380" s="16" t="n"/>
      <c r="C380" s="16" t="n"/>
      <c r="D380" s="20" t="n"/>
      <c r="E380" s="16" t="n"/>
    </row>
    <row r="381">
      <c r="A381" s="18" t="n"/>
      <c r="B381" s="16" t="n"/>
      <c r="C381" s="16" t="n"/>
      <c r="D381" s="20" t="n"/>
      <c r="E381" s="16" t="n"/>
    </row>
    <row r="382">
      <c r="A382" s="18" t="n"/>
      <c r="B382" s="16" t="n"/>
      <c r="C382" s="16" t="n"/>
      <c r="D382" s="20" t="n"/>
      <c r="E382" s="16" t="n"/>
    </row>
    <row r="383">
      <c r="A383" s="18" t="n"/>
      <c r="B383" s="16" t="n"/>
      <c r="C383" s="16" t="n"/>
      <c r="D383" s="20" t="n"/>
      <c r="E383" s="16" t="n"/>
    </row>
    <row r="384">
      <c r="A384" s="18" t="n"/>
      <c r="B384" s="16" t="n"/>
      <c r="C384" s="16" t="n"/>
      <c r="D384" s="20" t="n"/>
      <c r="E384" s="16" t="n"/>
    </row>
    <row r="385">
      <c r="A385" s="18" t="n"/>
      <c r="B385" s="16" t="n"/>
      <c r="C385" s="16" t="n"/>
      <c r="D385" s="20" t="n"/>
      <c r="E385" s="16" t="n"/>
    </row>
    <row r="386">
      <c r="A386" s="18" t="n"/>
      <c r="B386" s="16" t="n"/>
      <c r="C386" s="16" t="n"/>
      <c r="D386" s="20" t="n"/>
      <c r="E386" s="16" t="n"/>
    </row>
    <row r="387">
      <c r="A387" s="18" t="n"/>
      <c r="B387" s="16" t="n"/>
      <c r="C387" s="16" t="n"/>
      <c r="D387" s="20" t="n"/>
      <c r="E387" s="16" t="n"/>
    </row>
    <row r="388">
      <c r="A388" s="18" t="n"/>
      <c r="B388" s="16" t="n"/>
      <c r="C388" s="16" t="n"/>
      <c r="D388" s="20" t="n"/>
      <c r="E388" s="16" t="n"/>
    </row>
    <row r="389">
      <c r="A389" s="18" t="n"/>
      <c r="B389" s="16" t="n"/>
      <c r="C389" s="16" t="n"/>
      <c r="D389" s="20" t="n"/>
      <c r="E389" s="16" t="n"/>
    </row>
    <row r="390">
      <c r="A390" s="18" t="n"/>
      <c r="B390" s="16" t="n"/>
      <c r="C390" s="16" t="n"/>
      <c r="D390" s="20" t="n"/>
      <c r="E390" s="16" t="n"/>
    </row>
    <row r="391">
      <c r="A391" s="18" t="n"/>
      <c r="B391" s="16" t="n"/>
      <c r="C391" s="16" t="n"/>
      <c r="D391" s="20" t="n"/>
      <c r="E391" s="16" t="n"/>
    </row>
    <row r="392">
      <c r="A392" s="18" t="n"/>
      <c r="B392" s="16" t="n"/>
      <c r="C392" s="16" t="n"/>
      <c r="D392" s="20" t="n"/>
      <c r="E392" s="16" t="n"/>
    </row>
    <row r="393">
      <c r="A393" s="18" t="n"/>
      <c r="B393" s="16" t="n"/>
      <c r="C393" s="16" t="n"/>
      <c r="D393" s="20" t="n"/>
      <c r="E393" s="16" t="n"/>
    </row>
    <row r="394">
      <c r="A394" s="18" t="n"/>
      <c r="B394" s="16" t="n"/>
      <c r="C394" s="16" t="n"/>
      <c r="D394" s="20" t="n"/>
      <c r="E394" s="16" t="n"/>
    </row>
    <row r="395">
      <c r="A395" s="18" t="n"/>
      <c r="B395" s="16" t="n"/>
      <c r="C395" s="16" t="n"/>
      <c r="D395" s="20" t="n"/>
      <c r="E395" s="16" t="n"/>
    </row>
    <row r="396">
      <c r="A396" s="18" t="n"/>
      <c r="B396" s="16" t="n"/>
      <c r="C396" s="16" t="n"/>
      <c r="D396" s="20" t="n"/>
      <c r="E396" s="16" t="n"/>
    </row>
    <row r="397">
      <c r="A397" s="18" t="n"/>
      <c r="B397" s="16" t="n"/>
      <c r="C397" s="16" t="n"/>
      <c r="D397" s="20" t="n"/>
      <c r="E397" s="16" t="n"/>
    </row>
    <row r="398">
      <c r="A398" s="18" t="n"/>
      <c r="B398" s="16" t="n"/>
      <c r="C398" s="16" t="n"/>
      <c r="D398" s="20" t="n"/>
      <c r="E398" s="16" t="n"/>
    </row>
    <row r="399">
      <c r="A399" s="18" t="n"/>
      <c r="B399" s="16" t="n"/>
      <c r="C399" s="16" t="n"/>
      <c r="D399" s="20" t="n"/>
      <c r="E399" s="16" t="n"/>
    </row>
    <row r="400">
      <c r="A400" s="18" t="n"/>
      <c r="B400" s="16" t="n"/>
      <c r="C400" s="16" t="n"/>
      <c r="D400" s="20" t="n"/>
      <c r="E400" s="16" t="n"/>
    </row>
    <row r="401">
      <c r="A401" s="18" t="n"/>
      <c r="B401" s="16" t="n"/>
      <c r="C401" s="16" t="n"/>
      <c r="D401" s="20" t="n"/>
      <c r="E401" s="16" t="n"/>
    </row>
    <row r="402">
      <c r="A402" s="18" t="n"/>
      <c r="B402" s="16" t="n"/>
      <c r="C402" s="16" t="n"/>
      <c r="D402" s="20" t="n"/>
      <c r="E402" s="16" t="n"/>
    </row>
    <row r="403">
      <c r="A403" s="18" t="n"/>
      <c r="B403" s="16" t="n"/>
      <c r="C403" s="16" t="n"/>
      <c r="D403" s="20" t="n"/>
      <c r="E403" s="16" t="n"/>
    </row>
    <row r="404">
      <c r="A404" s="18" t="n"/>
      <c r="B404" s="16" t="n"/>
      <c r="C404" s="16" t="n"/>
      <c r="D404" s="20" t="n"/>
      <c r="E404" s="16" t="n"/>
    </row>
    <row r="405">
      <c r="A405" s="18" t="n"/>
      <c r="B405" s="16" t="n"/>
      <c r="C405" s="16" t="n"/>
      <c r="D405" s="20" t="n"/>
      <c r="E405" s="16" t="n"/>
    </row>
    <row r="406">
      <c r="A406" s="18" t="n"/>
      <c r="B406" s="16" t="n"/>
      <c r="C406" s="16" t="n"/>
      <c r="D406" s="20" t="n"/>
      <c r="E406" s="16" t="n"/>
    </row>
    <row r="407">
      <c r="A407" s="18" t="n"/>
      <c r="B407" s="16" t="n"/>
      <c r="C407" s="16" t="n"/>
      <c r="D407" s="20" t="n"/>
      <c r="E407" s="16" t="n"/>
    </row>
    <row r="408">
      <c r="A408" s="18" t="n"/>
      <c r="B408" s="16" t="n"/>
      <c r="C408" s="16" t="n"/>
      <c r="D408" s="20" t="n"/>
      <c r="E408" s="16" t="n"/>
    </row>
    <row r="409">
      <c r="A409" s="18" t="n"/>
      <c r="B409" s="16" t="n"/>
      <c r="C409" s="16" t="n"/>
      <c r="D409" s="20" t="n"/>
      <c r="E409" s="16" t="n"/>
    </row>
    <row r="410">
      <c r="A410" s="18" t="n"/>
      <c r="B410" s="16" t="n"/>
      <c r="C410" s="16" t="n"/>
      <c r="D410" s="20" t="n"/>
      <c r="E410" s="16" t="n"/>
    </row>
    <row r="411">
      <c r="A411" s="18" t="n"/>
      <c r="B411" s="16" t="n"/>
      <c r="C411" s="16" t="n"/>
      <c r="D411" s="20" t="n"/>
      <c r="E411" s="16" t="n"/>
    </row>
    <row r="412">
      <c r="A412" s="18" t="n"/>
      <c r="B412" s="16" t="n"/>
      <c r="C412" s="16" t="n"/>
      <c r="D412" s="20" t="n"/>
      <c r="E412" s="16" t="n"/>
    </row>
    <row r="413">
      <c r="A413" s="18" t="n"/>
      <c r="B413" s="16" t="n"/>
      <c r="C413" s="16" t="n"/>
      <c r="D413" s="20" t="n"/>
      <c r="E413" s="16" t="n"/>
    </row>
    <row r="414">
      <c r="A414" s="18" t="n"/>
      <c r="B414" s="16" t="n"/>
      <c r="C414" s="16" t="n"/>
      <c r="D414" s="20" t="n"/>
      <c r="E414" s="16" t="n"/>
    </row>
    <row r="415">
      <c r="A415" s="18" t="n"/>
      <c r="B415" s="16" t="n"/>
      <c r="C415" s="16" t="n"/>
      <c r="D415" s="20" t="n"/>
      <c r="E415" s="16" t="n"/>
    </row>
    <row r="416">
      <c r="A416" s="18" t="n"/>
      <c r="B416" s="16" t="n"/>
      <c r="C416" s="16" t="n"/>
      <c r="D416" s="20" t="n"/>
      <c r="E416" s="16" t="n"/>
    </row>
    <row r="417">
      <c r="A417" s="18" t="n"/>
      <c r="B417" s="16" t="n"/>
      <c r="C417" s="16" t="n"/>
      <c r="D417" s="20" t="n"/>
      <c r="E417" s="16" t="n"/>
    </row>
    <row r="418">
      <c r="A418" s="18" t="n"/>
      <c r="B418" s="16" t="n"/>
      <c r="C418" s="16" t="n"/>
      <c r="D418" s="20" t="n"/>
      <c r="E418" s="16" t="n"/>
    </row>
    <row r="419">
      <c r="A419" s="18" t="n"/>
      <c r="B419" s="16" t="n"/>
      <c r="C419" s="16" t="n"/>
      <c r="D419" s="20" t="n"/>
      <c r="E419" s="16" t="n"/>
    </row>
    <row r="420">
      <c r="A420" s="18" t="n"/>
      <c r="B420" s="16" t="n"/>
      <c r="C420" s="16" t="n"/>
      <c r="D420" s="20" t="n"/>
      <c r="E420" s="16" t="n"/>
    </row>
    <row r="421">
      <c r="A421" s="18" t="n"/>
      <c r="B421" s="16" t="n"/>
      <c r="C421" s="16" t="n"/>
      <c r="D421" s="20" t="n"/>
      <c r="E421" s="16" t="n"/>
    </row>
    <row r="422">
      <c r="A422" s="18" t="n"/>
      <c r="B422" s="16" t="n"/>
      <c r="C422" s="16" t="n"/>
      <c r="D422" s="20" t="n"/>
      <c r="E422" s="16" t="n"/>
    </row>
    <row r="423">
      <c r="A423" s="18" t="n"/>
      <c r="B423" s="16" t="n"/>
      <c r="C423" s="16" t="n"/>
      <c r="D423" s="20" t="n"/>
      <c r="E423" s="16" t="n"/>
    </row>
    <row r="424">
      <c r="A424" s="18" t="n"/>
      <c r="B424" s="16" t="n"/>
      <c r="C424" s="16" t="n"/>
      <c r="D424" s="20" t="n"/>
      <c r="E424" s="16" t="n"/>
    </row>
    <row r="425">
      <c r="A425" s="18" t="n"/>
      <c r="B425" s="16" t="n"/>
      <c r="C425" s="16" t="n"/>
      <c r="D425" s="20" t="n"/>
      <c r="E425" s="16" t="n"/>
    </row>
    <row r="426">
      <c r="A426" s="18" t="n"/>
      <c r="B426" s="16" t="n"/>
      <c r="C426" s="16" t="n"/>
      <c r="D426" s="20" t="n"/>
      <c r="E426" s="16" t="n"/>
    </row>
    <row r="427">
      <c r="A427" s="18" t="n"/>
      <c r="B427" s="16" t="n"/>
      <c r="C427" s="16" t="n"/>
      <c r="D427" s="20" t="n"/>
      <c r="E427" s="16" t="n"/>
    </row>
    <row r="428">
      <c r="A428" s="18" t="n"/>
      <c r="B428" s="16" t="n"/>
      <c r="C428" s="16" t="n"/>
      <c r="D428" s="20" t="n"/>
      <c r="E428" s="16" t="n"/>
    </row>
    <row r="429">
      <c r="A429" s="18" t="n"/>
      <c r="B429" s="16" t="n"/>
      <c r="C429" s="16" t="n"/>
      <c r="D429" s="20" t="n"/>
      <c r="E429" s="16" t="n"/>
    </row>
    <row r="430">
      <c r="A430" s="18" t="n"/>
      <c r="B430" s="16" t="n"/>
      <c r="C430" s="16" t="n"/>
      <c r="D430" s="20" t="n"/>
      <c r="E430" s="16" t="n"/>
    </row>
    <row r="431">
      <c r="A431" s="18" t="n"/>
      <c r="B431" s="16" t="n"/>
      <c r="C431" s="16" t="n"/>
      <c r="D431" s="20" t="n"/>
      <c r="E431" s="16" t="n"/>
    </row>
    <row r="432">
      <c r="A432" s="18" t="n"/>
      <c r="B432" s="16" t="n"/>
      <c r="C432" s="16" t="n"/>
      <c r="D432" s="20" t="n"/>
      <c r="E432" s="16" t="n"/>
    </row>
    <row r="433">
      <c r="A433" s="18" t="n"/>
      <c r="B433" s="16" t="n"/>
      <c r="C433" s="16" t="n"/>
      <c r="D433" s="20" t="n"/>
      <c r="E433" s="16" t="n"/>
    </row>
    <row r="434">
      <c r="A434" s="18" t="n"/>
      <c r="B434" s="16" t="n"/>
      <c r="C434" s="16" t="n"/>
      <c r="D434" s="20" t="n"/>
      <c r="E434" s="16" t="n"/>
    </row>
    <row r="435">
      <c r="A435" s="18" t="n"/>
      <c r="B435" s="16" t="n"/>
      <c r="C435" s="16" t="n"/>
      <c r="D435" s="20" t="n"/>
      <c r="E435" s="16" t="n"/>
    </row>
    <row r="436">
      <c r="A436" s="18" t="n"/>
      <c r="B436" s="16" t="n"/>
      <c r="C436" s="16" t="n"/>
      <c r="D436" s="20" t="n"/>
      <c r="E436" s="16" t="n"/>
    </row>
    <row r="437">
      <c r="A437" s="18" t="n"/>
      <c r="B437" s="16" t="n"/>
      <c r="C437" s="16" t="n"/>
      <c r="D437" s="20" t="n"/>
      <c r="E437" s="16" t="n"/>
    </row>
    <row r="438">
      <c r="A438" s="18" t="n"/>
      <c r="B438" s="16" t="n"/>
      <c r="C438" s="16" t="n"/>
      <c r="D438" s="20" t="n"/>
      <c r="E438" s="16" t="n"/>
    </row>
    <row r="439">
      <c r="A439" s="18" t="n"/>
      <c r="B439" s="16" t="n"/>
      <c r="C439" s="16" t="n"/>
      <c r="D439" s="20" t="n"/>
      <c r="E439" s="16" t="n"/>
    </row>
    <row r="440">
      <c r="A440" s="18" t="n"/>
      <c r="B440" s="16" t="n"/>
      <c r="C440" s="16" t="n"/>
      <c r="D440" s="20" t="n"/>
      <c r="E440" s="16" t="n"/>
    </row>
    <row r="441">
      <c r="A441" s="18" t="n"/>
      <c r="B441" s="16" t="n"/>
      <c r="C441" s="16" t="n"/>
      <c r="D441" s="20" t="n"/>
      <c r="E441" s="16" t="n"/>
    </row>
    <row r="442">
      <c r="A442" s="18" t="n"/>
      <c r="B442" s="16" t="n"/>
      <c r="C442" s="16" t="n"/>
      <c r="D442" s="20" t="n"/>
      <c r="E442" s="16" t="n"/>
    </row>
    <row r="443">
      <c r="A443" s="18" t="n"/>
      <c r="B443" s="16" t="n"/>
      <c r="C443" s="16" t="n"/>
      <c r="D443" s="20" t="n"/>
      <c r="E443" s="16" t="n"/>
    </row>
    <row r="444">
      <c r="A444" s="18" t="n"/>
      <c r="B444" s="16" t="n"/>
      <c r="C444" s="16" t="n"/>
      <c r="D444" s="20" t="n"/>
      <c r="E444" s="16" t="n"/>
    </row>
    <row r="445">
      <c r="A445" s="18" t="n"/>
      <c r="B445" s="16" t="n"/>
      <c r="C445" s="16" t="n"/>
      <c r="D445" s="20" t="n"/>
      <c r="E445" s="16" t="n"/>
    </row>
    <row r="446">
      <c r="A446" s="18" t="n"/>
      <c r="B446" s="16" t="n"/>
      <c r="C446" s="16" t="n"/>
      <c r="D446" s="20" t="n"/>
      <c r="E446" s="16" t="n"/>
    </row>
    <row r="447">
      <c r="A447" s="18" t="n"/>
      <c r="B447" s="16" t="n"/>
      <c r="C447" s="16" t="n"/>
      <c r="D447" s="20" t="n"/>
      <c r="E447" s="16" t="n"/>
    </row>
    <row r="448">
      <c r="A448" s="18" t="n"/>
      <c r="B448" s="16" t="n"/>
      <c r="C448" s="16" t="n"/>
      <c r="D448" s="20" t="n"/>
      <c r="E448" s="16" t="n"/>
    </row>
    <row r="449">
      <c r="A449" s="18" t="n"/>
      <c r="B449" s="16" t="n"/>
      <c r="C449" s="16" t="n"/>
      <c r="D449" s="20" t="n"/>
      <c r="E449" s="16" t="n"/>
    </row>
    <row r="450">
      <c r="A450" s="18" t="n"/>
      <c r="B450" s="16" t="n"/>
      <c r="C450" s="16" t="n"/>
      <c r="D450" s="20" t="n"/>
      <c r="E450" s="16" t="n"/>
    </row>
    <row r="451">
      <c r="A451" s="18" t="n"/>
      <c r="B451" s="16" t="n"/>
      <c r="C451" s="16" t="n"/>
      <c r="D451" s="20" t="n"/>
      <c r="E451" s="16" t="n"/>
    </row>
    <row r="452">
      <c r="A452" s="18" t="n"/>
      <c r="B452" s="16" t="n"/>
      <c r="C452" s="16" t="n"/>
      <c r="D452" s="20" t="n"/>
      <c r="E452" s="16" t="n"/>
    </row>
    <row r="453">
      <c r="A453" s="18" t="n"/>
      <c r="B453" s="16" t="n"/>
      <c r="C453" s="16" t="n"/>
      <c r="D453" s="20" t="n"/>
      <c r="E453" s="16" t="n"/>
    </row>
    <row r="454">
      <c r="A454" s="18" t="n"/>
      <c r="B454" s="16" t="n"/>
      <c r="C454" s="16" t="n"/>
      <c r="D454" s="20" t="n"/>
      <c r="E454" s="16" t="n"/>
    </row>
    <row r="455">
      <c r="A455" s="18" t="n"/>
      <c r="B455" s="16" t="n"/>
      <c r="C455" s="16" t="n"/>
      <c r="D455" s="20" t="n"/>
      <c r="E455" s="16" t="n"/>
    </row>
    <row r="456">
      <c r="A456" s="18" t="n"/>
      <c r="B456" s="16" t="n"/>
      <c r="C456" s="16" t="n"/>
      <c r="D456" s="20" t="n"/>
      <c r="E456" s="16" t="n"/>
    </row>
    <row r="457">
      <c r="A457" s="18" t="n"/>
      <c r="B457" s="16" t="n"/>
      <c r="C457" s="16" t="n"/>
      <c r="D457" s="20" t="n"/>
      <c r="E457" s="16" t="n"/>
    </row>
    <row r="458">
      <c r="A458" s="18" t="n"/>
      <c r="B458" s="16" t="n"/>
      <c r="C458" s="16" t="n"/>
      <c r="D458" s="20" t="n"/>
      <c r="E458" s="16" t="n"/>
    </row>
    <row r="459">
      <c r="A459" s="18" t="n"/>
      <c r="B459" s="16" t="n"/>
      <c r="C459" s="16" t="n"/>
      <c r="D459" s="20" t="n"/>
      <c r="E459" s="16" t="n"/>
    </row>
    <row r="460">
      <c r="A460" s="18" t="n"/>
      <c r="B460" s="16" t="n"/>
      <c r="C460" s="16" t="n"/>
      <c r="D460" s="20" t="n"/>
      <c r="E460" s="16" t="n"/>
    </row>
    <row r="461">
      <c r="A461" s="18" t="n"/>
      <c r="B461" s="16" t="n"/>
      <c r="C461" s="16" t="n"/>
      <c r="D461" s="20" t="n"/>
      <c r="E461" s="16" t="n"/>
    </row>
    <row r="462">
      <c r="A462" s="18" t="n"/>
      <c r="B462" s="16" t="n"/>
      <c r="C462" s="16" t="n"/>
      <c r="D462" s="20" t="n"/>
      <c r="E462" s="16" t="n"/>
    </row>
    <row r="463">
      <c r="A463" s="18" t="n"/>
      <c r="B463" s="16" t="n"/>
      <c r="C463" s="16" t="n"/>
      <c r="D463" s="20" t="n"/>
      <c r="E463" s="16" t="n"/>
    </row>
    <row r="464">
      <c r="A464" s="18" t="n"/>
      <c r="B464" s="16" t="n"/>
      <c r="C464" s="16" t="n"/>
      <c r="D464" s="20" t="n"/>
      <c r="E464" s="16" t="n"/>
    </row>
    <row r="465">
      <c r="A465" s="18" t="n"/>
      <c r="B465" s="16" t="n"/>
      <c r="C465" s="16" t="n"/>
      <c r="D465" s="20" t="n"/>
      <c r="E465" s="16" t="n"/>
    </row>
    <row r="466">
      <c r="A466" s="18" t="n"/>
      <c r="B466" s="16" t="n"/>
      <c r="C466" s="16" t="n"/>
      <c r="D466" s="20" t="n"/>
      <c r="E466" s="16" t="n"/>
    </row>
    <row r="467">
      <c r="A467" s="18" t="n"/>
      <c r="B467" s="16" t="n"/>
      <c r="C467" s="16" t="n"/>
      <c r="D467" s="20" t="n"/>
      <c r="E467" s="16" t="n"/>
    </row>
    <row r="468">
      <c r="A468" s="18" t="n"/>
      <c r="B468" s="16" t="n"/>
      <c r="C468" s="16" t="n"/>
      <c r="D468" s="20" t="n"/>
      <c r="E468" s="16" t="n"/>
    </row>
    <row r="469">
      <c r="A469" s="18" t="n"/>
      <c r="B469" s="16" t="n"/>
      <c r="C469" s="16" t="n"/>
      <c r="D469" s="20" t="n"/>
      <c r="E469" s="16" t="n"/>
    </row>
    <row r="470">
      <c r="A470" s="18" t="n"/>
      <c r="B470" s="16" t="n"/>
      <c r="C470" s="16" t="n"/>
      <c r="D470" s="20" t="n"/>
      <c r="E470" s="16" t="n"/>
    </row>
    <row r="471">
      <c r="A471" s="18" t="n"/>
      <c r="B471" s="16" t="n"/>
      <c r="C471" s="16" t="n"/>
      <c r="D471" s="20" t="n"/>
      <c r="E471" s="16" t="n"/>
    </row>
    <row r="472">
      <c r="A472" s="18" t="n"/>
      <c r="B472" s="16" t="n"/>
      <c r="C472" s="16" t="n"/>
      <c r="D472" s="20" t="n"/>
      <c r="E472" s="16" t="n"/>
    </row>
    <row r="473">
      <c r="A473" s="18" t="n"/>
      <c r="B473" s="16" t="n"/>
      <c r="C473" s="16" t="n"/>
      <c r="D473" s="20" t="n"/>
      <c r="E473" s="16" t="n"/>
    </row>
    <row r="474">
      <c r="A474" s="18" t="n"/>
      <c r="B474" s="16" t="n"/>
      <c r="C474" s="16" t="n"/>
      <c r="D474" s="20" t="n"/>
      <c r="E474" s="16" t="n"/>
    </row>
    <row r="475">
      <c r="A475" s="18" t="n"/>
      <c r="B475" s="16" t="n"/>
      <c r="C475" s="16" t="n"/>
      <c r="D475" s="20" t="n"/>
      <c r="E475" s="16" t="n"/>
    </row>
    <row r="476">
      <c r="A476" s="18" t="n"/>
      <c r="B476" s="16" t="n"/>
      <c r="C476" s="16" t="n"/>
      <c r="D476" s="20" t="n"/>
      <c r="E476" s="16" t="n"/>
    </row>
    <row r="477">
      <c r="A477" s="18" t="n"/>
      <c r="B477" s="16" t="n"/>
      <c r="C477" s="16" t="n"/>
      <c r="D477" s="20" t="n"/>
      <c r="E477" s="16" t="n"/>
    </row>
    <row r="478">
      <c r="A478" s="18" t="n"/>
      <c r="B478" s="16" t="n"/>
      <c r="C478" s="16" t="n"/>
      <c r="D478" s="20" t="n"/>
      <c r="E478" s="16" t="n"/>
    </row>
    <row r="479">
      <c r="A479" s="18" t="n"/>
      <c r="B479" s="16" t="n"/>
      <c r="C479" s="16" t="n"/>
      <c r="D479" s="20" t="n"/>
      <c r="E479" s="16" t="n"/>
    </row>
    <row r="480">
      <c r="A480" s="18" t="n"/>
      <c r="B480" s="16" t="n"/>
      <c r="C480" s="16" t="n"/>
      <c r="D480" s="20" t="n"/>
      <c r="E480" s="16" t="n"/>
    </row>
    <row r="481">
      <c r="A481" s="18" t="n"/>
      <c r="B481" s="16" t="n"/>
      <c r="C481" s="16" t="n"/>
      <c r="D481" s="20" t="n"/>
      <c r="E481" s="16" t="n"/>
    </row>
    <row r="482">
      <c r="A482" s="18" t="n"/>
      <c r="B482" s="16" t="n"/>
      <c r="C482" s="16" t="n"/>
      <c r="D482" s="20" t="n"/>
      <c r="E482" s="16" t="n"/>
    </row>
    <row r="483">
      <c r="A483" s="18" t="n"/>
      <c r="B483" s="16" t="n"/>
      <c r="C483" s="16" t="n"/>
      <c r="D483" s="20" t="n"/>
      <c r="E483" s="16" t="n"/>
    </row>
    <row r="484">
      <c r="A484" s="18" t="n"/>
      <c r="B484" s="16" t="n"/>
      <c r="C484" s="16" t="n"/>
      <c r="D484" s="20" t="n"/>
      <c r="E484" s="16" t="n"/>
    </row>
    <row r="485">
      <c r="A485" s="18" t="n"/>
      <c r="B485" s="16" t="n"/>
      <c r="C485" s="16" t="n"/>
      <c r="D485" s="20" t="n"/>
      <c r="E485" s="16" t="n"/>
    </row>
    <row r="486">
      <c r="A486" s="18" t="n"/>
      <c r="B486" s="16" t="n"/>
      <c r="C486" s="16" t="n"/>
      <c r="D486" s="20" t="n"/>
      <c r="E486" s="16" t="n"/>
    </row>
    <row r="487">
      <c r="A487" s="18" t="n"/>
      <c r="B487" s="16" t="n"/>
      <c r="C487" s="16" t="n"/>
      <c r="D487" s="20" t="n"/>
      <c r="E487" s="16" t="n"/>
    </row>
    <row r="488">
      <c r="A488" s="18" t="n"/>
      <c r="B488" s="16" t="n"/>
      <c r="C488" s="16" t="n"/>
      <c r="D488" s="20" t="n"/>
      <c r="E488" s="16" t="n"/>
    </row>
    <row r="489">
      <c r="A489" s="18" t="n"/>
      <c r="B489" s="16" t="n"/>
      <c r="C489" s="16" t="n"/>
      <c r="D489" s="20" t="n"/>
      <c r="E489" s="16" t="n"/>
    </row>
    <row r="490">
      <c r="A490" s="18" t="n"/>
      <c r="B490" s="16" t="n"/>
      <c r="C490" s="16" t="n"/>
      <c r="D490" s="20" t="n"/>
      <c r="E490" s="16" t="n"/>
    </row>
    <row r="491">
      <c r="A491" s="18" t="n"/>
      <c r="B491" s="16" t="n"/>
      <c r="C491" s="16" t="n"/>
      <c r="D491" s="20" t="n"/>
      <c r="E491" s="16" t="n"/>
    </row>
    <row r="492">
      <c r="A492" s="18" t="n"/>
      <c r="B492" s="16" t="n"/>
      <c r="C492" s="16" t="n"/>
      <c r="D492" s="20" t="n"/>
      <c r="E492" s="16" t="n"/>
    </row>
    <row r="493">
      <c r="A493" s="18" t="n"/>
      <c r="B493" s="16" t="n"/>
      <c r="C493" s="16" t="n"/>
      <c r="D493" s="20" t="n"/>
      <c r="E493" s="16" t="n"/>
    </row>
    <row r="494">
      <c r="A494" s="18" t="n"/>
      <c r="B494" s="16" t="n"/>
      <c r="C494" s="16" t="n"/>
      <c r="D494" s="20" t="n"/>
      <c r="E494" s="16" t="n"/>
    </row>
    <row r="495">
      <c r="A495" s="18" t="n"/>
      <c r="B495" s="16" t="n"/>
      <c r="C495" s="16" t="n"/>
      <c r="D495" s="20" t="n"/>
      <c r="E495" s="16" t="n"/>
    </row>
    <row r="496">
      <c r="A496" s="18" t="n"/>
      <c r="B496" s="16" t="n"/>
      <c r="C496" s="16" t="n"/>
      <c r="D496" s="20" t="n"/>
      <c r="E496" s="16" t="n"/>
    </row>
    <row r="497">
      <c r="A497" s="18" t="n"/>
      <c r="B497" s="16" t="n"/>
      <c r="C497" s="16" t="n"/>
      <c r="D497" s="20" t="n"/>
      <c r="E497" s="16" t="n"/>
    </row>
    <row r="498">
      <c r="A498" s="18" t="n"/>
      <c r="B498" s="16" t="n"/>
      <c r="C498" s="16" t="n"/>
      <c r="D498" s="20" t="n"/>
      <c r="E498" s="16" t="n"/>
    </row>
    <row r="499">
      <c r="A499" s="18" t="n"/>
      <c r="B499" s="16" t="n"/>
      <c r="C499" s="16" t="n"/>
      <c r="D499" s="20" t="n"/>
      <c r="E499" s="16" t="n"/>
    </row>
    <row r="500">
      <c r="A500" s="18" t="n"/>
      <c r="B500" s="16" t="n"/>
      <c r="C500" s="16" t="n"/>
      <c r="D500" s="20" t="n"/>
      <c r="E500" s="16" t="n"/>
    </row>
    <row r="501">
      <c r="A501" s="18" t="n"/>
      <c r="B501" s="16" t="n"/>
      <c r="C501" s="16" t="n"/>
      <c r="D501" s="20" t="n"/>
      <c r="E501" s="16" t="n"/>
    </row>
  </sheetData>
  <dataValidations count="1">
    <dataValidation sqref="C2:C501" showDropDown="0" showInputMessage="0" showErrorMessage="0" allowBlank="1" type="list">
      <formula1>=Settings!$D$3:$D$13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2026-10-02T00:10:56Z</dcterms:created>
  <dcterms:modified xsi:type="dcterms:W3CDTF">2026-10-02T00:10:56Z</dcterms:modified>
</cp:coreProperties>
</file>